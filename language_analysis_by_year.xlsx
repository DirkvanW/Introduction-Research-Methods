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Introduction to reasearch methods\Article\Introduction-Research-Methods\"/>
    </mc:Choice>
  </mc:AlternateContent>
  <xr:revisionPtr revIDLastSave="0" documentId="8_{4AF0F6C5-64A3-4E2A-859D-FD5B28B89457}" xr6:coauthVersionLast="47" xr6:coauthVersionMax="47" xr10:uidLastSave="{00000000-0000-0000-0000-000000000000}"/>
  <bookViews>
    <workbookView xWindow="-120" yWindow="-120" windowWidth="51840" windowHeight="21120" activeTab="1" xr2:uid="{5A0EC606-1A19-4A75-8E30-2264D7405684}"/>
  </bookViews>
  <sheets>
    <sheet name="Sheet2" sheetId="4" r:id="rId1"/>
    <sheet name="language_analysis_by_year" sheetId="3" r:id="rId2"/>
    <sheet name="Gutenberg_Language_keys" sheetId="2" r:id="rId3"/>
    <sheet name="Sheet1" sheetId="1" r:id="rId4"/>
  </sheets>
  <definedNames>
    <definedName name="ExternalData_1" localSheetId="2" hidden="1">Gutenberg_Language_keys!$A$1:$B$72</definedName>
    <definedName name="ExternalData_2" localSheetId="1" hidden="1">language_analysis_by_year!$A$1:$AR$73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3" l="1"/>
  <c r="B81" i="3"/>
  <c r="G82" i="3"/>
  <c r="G81" i="3"/>
  <c r="F82" i="3"/>
  <c r="F81" i="3"/>
  <c r="E82" i="3"/>
  <c r="E81" i="3"/>
  <c r="D82" i="3"/>
  <c r="D81" i="3"/>
  <c r="C82" i="3"/>
  <c r="C81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S77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B74" i="3"/>
  <c r="AS51" i="3"/>
  <c r="AS34" i="3"/>
  <c r="AS52" i="3"/>
  <c r="AS46" i="3"/>
  <c r="AS30" i="3"/>
  <c r="AS53" i="3"/>
  <c r="AS54" i="3"/>
  <c r="AS55" i="3"/>
  <c r="AS47" i="3"/>
  <c r="AS18" i="3"/>
  <c r="AS36" i="3"/>
  <c r="AS25" i="3"/>
  <c r="AS56" i="3"/>
  <c r="AS24" i="3"/>
  <c r="AS16" i="3"/>
  <c r="AS5" i="3"/>
  <c r="AS13" i="3"/>
  <c r="AS2" i="3"/>
  <c r="AS73" i="3" s="1"/>
  <c r="AS31" i="3"/>
  <c r="AS15" i="3"/>
  <c r="AS8" i="3"/>
  <c r="AS57" i="3"/>
  <c r="AS58" i="3"/>
  <c r="AS4" i="3"/>
  <c r="AS3" i="3"/>
  <c r="AS27" i="3"/>
  <c r="AS22" i="3"/>
  <c r="AS37" i="3"/>
  <c r="AS38" i="3"/>
  <c r="AS48" i="3"/>
  <c r="AS39" i="3"/>
  <c r="AS59" i="3"/>
  <c r="AS28" i="3"/>
  <c r="AS10" i="3"/>
  <c r="AS60" i="3"/>
  <c r="AS40" i="3"/>
  <c r="AS29" i="3"/>
  <c r="AS7" i="3"/>
  <c r="AS61" i="3"/>
  <c r="AS20" i="3"/>
  <c r="AS62" i="3"/>
  <c r="AS63" i="3"/>
  <c r="AS64" i="3"/>
  <c r="AS14" i="3"/>
  <c r="AS65" i="3"/>
  <c r="AS49" i="3"/>
  <c r="AS41" i="3"/>
  <c r="AS42" i="3"/>
  <c r="AS43" i="3"/>
  <c r="AS66" i="3"/>
  <c r="AS44" i="3"/>
  <c r="AS6" i="3"/>
  <c r="AS21" i="3"/>
  <c r="AS50" i="3"/>
  <c r="AS67" i="3"/>
  <c r="AS19" i="3"/>
  <c r="AS9" i="3"/>
  <c r="AS68" i="3"/>
  <c r="AS33" i="3"/>
  <c r="AS26" i="3"/>
  <c r="AS69" i="3"/>
  <c r="AS70" i="3"/>
  <c r="AS45" i="3"/>
  <c r="AS35" i="3"/>
  <c r="AS12" i="3"/>
  <c r="AS32" i="3"/>
  <c r="AS17" i="3"/>
  <c r="AS71" i="3"/>
  <c r="AS11" i="3"/>
  <c r="AS23" i="3"/>
  <c r="AS74" i="3" l="1"/>
  <c r="A15" i="3"/>
  <c r="A50" i="3"/>
  <c r="A49" i="3"/>
  <c r="A42" i="3"/>
  <c r="A67" i="3"/>
  <c r="A69" i="3"/>
  <c r="A43" i="3"/>
  <c r="A68" i="3"/>
  <c r="A62" i="3"/>
  <c r="A22" i="3"/>
  <c r="A56" i="3"/>
  <c r="A13" i="3"/>
  <c r="A59" i="3"/>
  <c r="A44" i="3"/>
  <c r="A36" i="3"/>
  <c r="A12" i="3"/>
  <c r="A4" i="3"/>
  <c r="A37" i="3"/>
  <c r="A35" i="3"/>
  <c r="A2" i="3"/>
  <c r="A41" i="3"/>
  <c r="A24" i="3"/>
  <c r="A26" i="3"/>
  <c r="A70" i="3"/>
  <c r="A51" i="3"/>
  <c r="A54" i="3"/>
  <c r="A31" i="3"/>
  <c r="A46" i="3"/>
  <c r="A48" i="3"/>
  <c r="A45" i="3"/>
  <c r="A53" i="3"/>
  <c r="A32" i="3"/>
  <c r="A58" i="3"/>
  <c r="A38" i="3"/>
  <c r="A66" i="3"/>
  <c r="A17" i="3"/>
  <c r="A27" i="3"/>
  <c r="A11" i="3"/>
  <c r="A57" i="3"/>
  <c r="A23" i="3"/>
  <c r="A19" i="3"/>
  <c r="A25" i="3"/>
  <c r="A29" i="3"/>
  <c r="A61" i="3"/>
  <c r="A10" i="3"/>
  <c r="A34" i="3"/>
  <c r="A52" i="3"/>
  <c r="A40" i="3"/>
  <c r="A9" i="3"/>
  <c r="A63" i="3"/>
  <c r="A6" i="3"/>
  <c r="A30" i="3"/>
  <c r="A14" i="3"/>
  <c r="A21" i="3"/>
  <c r="A18" i="3"/>
  <c r="A47" i="3"/>
  <c r="A39" i="3"/>
  <c r="A20" i="3"/>
  <c r="A8" i="3"/>
  <c r="A33" i="3"/>
  <c r="A5" i="3"/>
  <c r="A55" i="3"/>
  <c r="A60" i="3"/>
  <c r="A16" i="3"/>
  <c r="A65" i="3"/>
  <c r="A3" i="3"/>
  <c r="A71" i="3"/>
  <c r="A28" i="3"/>
  <c r="A7" i="3"/>
  <c r="A6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AC3C9D-B116-447E-B06D-0B067CD8B510}" keepAlive="1" name="Query - Gutenberg_Language_keys" description="Connection to the 'Gutenberg_Language_keys' query in the workbook." type="5" refreshedVersion="8" background="1" saveData="1">
    <dbPr connection="Provider=Microsoft.Mashup.OleDb.1;Data Source=$Workbook$;Location=Gutenberg_Language_keys;Extended Properties=&quot;&quot;" command="SELECT * FROM [Gutenberg_Language_keys]"/>
  </connection>
  <connection id="2" xr16:uid="{4FF62972-15AD-4C23-8195-933B2A71442E}" keepAlive="1" name="Query - language_analysis_by_year" description="Connection to the 'language_analysis_by_year' query in the workbook." type="5" refreshedVersion="8" background="1" saveData="1">
    <dbPr connection="Provider=Microsoft.Mashup.OleDb.1;Data Source=$Workbook$;Location=language_analysis_by_year;Extended Properties=&quot;&quot;" command="SELECT * FROM [language_analysis_by_year]"/>
  </connection>
</connections>
</file>

<file path=xl/sharedStrings.xml><?xml version="1.0" encoding="utf-8"?>
<sst xmlns="http://schemas.openxmlformats.org/spreadsheetml/2006/main" count="365" uniqueCount="198">
  <si>
    <t>Column1</t>
  </si>
  <si>
    <t>Column2</t>
  </si>
  <si>
    <t>Language</t>
  </si>
  <si>
    <t>code</t>
  </si>
  <si>
    <t>English</t>
  </si>
  <si>
    <t>en</t>
  </si>
  <si>
    <t>la</t>
  </si>
  <si>
    <t>Spanish</t>
  </si>
  <si>
    <t>es</t>
  </si>
  <si>
    <t>German</t>
  </si>
  <si>
    <t>de</t>
  </si>
  <si>
    <t>French</t>
  </si>
  <si>
    <t>fr</t>
  </si>
  <si>
    <t>Italian</t>
  </si>
  <si>
    <t>it</t>
  </si>
  <si>
    <t>Japanese</t>
  </si>
  <si>
    <t>ja</t>
  </si>
  <si>
    <t>Chinese</t>
  </si>
  <si>
    <t>zh</t>
  </si>
  <si>
    <t>Swedish</t>
  </si>
  <si>
    <t>sv</t>
  </si>
  <si>
    <t>Danish</t>
  </si>
  <si>
    <t>da</t>
  </si>
  <si>
    <t>Welsh</t>
  </si>
  <si>
    <t>cy</t>
  </si>
  <si>
    <t>Bulgarian</t>
  </si>
  <si>
    <t>bg</t>
  </si>
  <si>
    <t>Portugese</t>
  </si>
  <si>
    <t>pt</t>
  </si>
  <si>
    <t>Dutch</t>
  </si>
  <si>
    <t>nl</t>
  </si>
  <si>
    <t>Greek</t>
  </si>
  <si>
    <t>el</t>
  </si>
  <si>
    <t>Hebrew</t>
  </si>
  <si>
    <t>he</t>
  </si>
  <si>
    <t>Russian</t>
  </si>
  <si>
    <t>ru</t>
  </si>
  <si>
    <t>Hungarian</t>
  </si>
  <si>
    <t>hu</t>
  </si>
  <si>
    <t>Korean</t>
  </si>
  <si>
    <t>ko</t>
  </si>
  <si>
    <t>Polish</t>
  </si>
  <si>
    <t>pl</t>
  </si>
  <si>
    <t>Finnish</t>
  </si>
  <si>
    <t>fi</t>
  </si>
  <si>
    <t>Esperanto</t>
  </si>
  <si>
    <t>eo</t>
  </si>
  <si>
    <t>Middle English</t>
  </si>
  <si>
    <t>enm</t>
  </si>
  <si>
    <t>Sanskrit</t>
  </si>
  <si>
    <t>sa</t>
  </si>
  <si>
    <t>Old English</t>
  </si>
  <si>
    <t>ang</t>
  </si>
  <si>
    <t>Aleut</t>
  </si>
  <si>
    <t>ale</t>
  </si>
  <si>
    <t>Yiddish</t>
  </si>
  <si>
    <t>yi</t>
  </si>
  <si>
    <t>Lithuanian</t>
  </si>
  <si>
    <t>lt</t>
  </si>
  <si>
    <t>North American Indian</t>
  </si>
  <si>
    <t>nai</t>
  </si>
  <si>
    <t>Serbian</t>
  </si>
  <si>
    <t>sr</t>
  </si>
  <si>
    <t>Norwegian</t>
  </si>
  <si>
    <t>no</t>
  </si>
  <si>
    <t>Catalan</t>
  </si>
  <si>
    <t>ca</t>
  </si>
  <si>
    <t>Romenian</t>
  </si>
  <si>
    <t>ro</t>
  </si>
  <si>
    <t>Nahuatl</t>
  </si>
  <si>
    <t>nah</t>
  </si>
  <si>
    <t>Khasi</t>
  </si>
  <si>
    <t>kha</t>
  </si>
  <si>
    <t>Czech</t>
  </si>
  <si>
    <t>cs</t>
  </si>
  <si>
    <t>Tagalog</t>
  </si>
  <si>
    <t>tl</t>
  </si>
  <si>
    <t>Icelandic</t>
  </si>
  <si>
    <t>is</t>
  </si>
  <si>
    <t>Mayan Languages</t>
  </si>
  <si>
    <t>myn</t>
  </si>
  <si>
    <t>Iloko</t>
  </si>
  <si>
    <t>ilo</t>
  </si>
  <si>
    <t>Interlingua</t>
  </si>
  <si>
    <t>ia</t>
  </si>
  <si>
    <t>Irish</t>
  </si>
  <si>
    <t>ga</t>
  </si>
  <si>
    <t>Friulian</t>
  </si>
  <si>
    <t>fur</t>
  </si>
  <si>
    <t>Afrikaans</t>
  </si>
  <si>
    <t>af</t>
  </si>
  <si>
    <t>Gamilaraay</t>
  </si>
  <si>
    <t>kld</t>
  </si>
  <si>
    <t>Occitan</t>
  </si>
  <si>
    <t>oc</t>
  </si>
  <si>
    <t>Napoletano-Calabrese</t>
  </si>
  <si>
    <t>nap</t>
  </si>
  <si>
    <t>Frisian</t>
  </si>
  <si>
    <t>fy</t>
  </si>
  <si>
    <t>Cebuano</t>
  </si>
  <si>
    <t>ceb</t>
  </si>
  <si>
    <t>Galician</t>
  </si>
  <si>
    <t>gl</t>
  </si>
  <si>
    <t>Maori</t>
  </si>
  <si>
    <t>mi</t>
  </si>
  <si>
    <t>Navajo</t>
  </si>
  <si>
    <t>nav</t>
  </si>
  <si>
    <t>Breton</t>
  </si>
  <si>
    <t>br</t>
  </si>
  <si>
    <t>Arapaho</t>
  </si>
  <si>
    <t>arp</t>
  </si>
  <si>
    <t>Inuktitut</t>
  </si>
  <si>
    <t>iu</t>
  </si>
  <si>
    <t>Tagabawa</t>
  </si>
  <si>
    <t>bgs</t>
  </si>
  <si>
    <t>Kashubian</t>
  </si>
  <si>
    <t>csb</t>
  </si>
  <si>
    <t>Gaelic;Scottish</t>
  </si>
  <si>
    <t>gla</t>
  </si>
  <si>
    <t>Caló</t>
  </si>
  <si>
    <t>rmq</t>
  </si>
  <si>
    <t>Slovenian</t>
  </si>
  <si>
    <t>sl</t>
  </si>
  <si>
    <t>Telugu</t>
  </si>
  <si>
    <t>te</t>
  </si>
  <si>
    <t>Ojibwa</t>
  </si>
  <si>
    <t>oji</t>
  </si>
  <si>
    <t>Greek;Ancient</t>
  </si>
  <si>
    <t>grc</t>
  </si>
  <si>
    <t>Arabic</t>
  </si>
  <si>
    <t>ar</t>
  </si>
  <si>
    <t>Estonian</t>
  </si>
  <si>
    <t>et</t>
  </si>
  <si>
    <t>Farsi</t>
  </si>
  <si>
    <t>fa</t>
  </si>
  <si>
    <t>Scots</t>
  </si>
  <si>
    <t>sco</t>
  </si>
  <si>
    <t>Bodo</t>
  </si>
  <si>
    <t>brx</t>
  </si>
  <si>
    <t>Tibetan</t>
  </si>
  <si>
    <t>bo</t>
  </si>
  <si>
    <t>Haida</t>
  </si>
  <si>
    <t>hai</t>
  </si>
  <si>
    <t>Latin</t>
  </si>
  <si>
    <t>1971</t>
  </si>
  <si>
    <t>1972</t>
  </si>
  <si>
    <t>1973</t>
  </si>
  <si>
    <t>1975</t>
  </si>
  <si>
    <t>1976</t>
  </si>
  <si>
    <t>1977</t>
  </si>
  <si>
    <t>1978</t>
  </si>
  <si>
    <t>1979</t>
  </si>
  <si>
    <t>1989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</si>
  <si>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</si>
  <si>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</si>
  <si>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</si>
  <si>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</si>
  <si>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</si>
  <si>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</si>
  <si>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</si>
  <si>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</si>
  <si>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</si>
  <si>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</si>
  <si>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</si>
  <si>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</si>
  <si>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</si>
  <si>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</si>
  <si>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</si>
  <si>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</si>
  <si>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</si>
  <si>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</si>
  <si>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</si>
  <si>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</si>
  <si>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</si>
  <si>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</si>
  <si>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</si>
  <si>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</si>
  <si>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</si>
  <si>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</si>
  <si>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</si>
  <si>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</si>
  <si>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</si>
  <si>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</si>
  <si>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</si>
  <si>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</si>
  <si>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</si>
  <si>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</si>
  <si>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</t>
  </si>
  <si>
    <t>Grand Total</t>
  </si>
  <si>
    <t>Languages</t>
  </si>
  <si>
    <t>Total Books</t>
  </si>
  <si>
    <t>Other</t>
  </si>
  <si>
    <t>1970-1980</t>
  </si>
  <si>
    <t>1881-1990</t>
  </si>
  <si>
    <t>1991-2000</t>
  </si>
  <si>
    <t>2001-2010</t>
  </si>
  <si>
    <t>2011-2020</t>
  </si>
  <si>
    <t>2021-2024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</si>
</sst>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[language_analysis_by_year.xlsx]Sheet2!PivotTable3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Sheet2!$A$2:$A$72</c:f>
              <c:strCache>
                <c:ptCount val="70"/>
                <c:pt idx="0">
                  <c:v>Afrikaans</c:v>
                </c:pt>
                <c:pt idx="1">
                  <c:v>Aleut</c:v>
                </c:pt>
                <c:pt idx="2">
                  <c:v>Arabic</c:v>
                </c:pt>
                <c:pt idx="3">
                  <c:v>Arapaho</c:v>
                </c:pt>
                <c:pt idx="4">
                  <c:v>Bodo</c:v>
                </c:pt>
                <c:pt idx="5">
                  <c:v>Breton</c:v>
                </c:pt>
                <c:pt idx="6">
                  <c:v>Bulgarian</c:v>
                </c:pt>
                <c:pt idx="7">
                  <c:v>Caló</c:v>
                </c:pt>
                <c:pt idx="8">
                  <c:v>Catalan</c:v>
                </c:pt>
                <c:pt idx="9">
                  <c:v>Cebuano</c:v>
                </c:pt>
                <c:pt idx="10">
                  <c:v>Chinese</c:v>
                </c:pt>
                <c:pt idx="11">
                  <c:v>Czech</c:v>
                </c:pt>
                <c:pt idx="12">
                  <c:v>Danish</c:v>
                </c:pt>
                <c:pt idx="13">
                  <c:v>Dutch</c:v>
                </c:pt>
                <c:pt idx="14">
                  <c:v>English</c:v>
                </c:pt>
                <c:pt idx="15">
                  <c:v>Esperanto</c:v>
                </c:pt>
                <c:pt idx="16">
                  <c:v>Estonian</c:v>
                </c:pt>
                <c:pt idx="17">
                  <c:v>Farsi</c:v>
                </c:pt>
                <c:pt idx="18">
                  <c:v>Finnish</c:v>
                </c:pt>
                <c:pt idx="19">
                  <c:v>French</c:v>
                </c:pt>
                <c:pt idx="20">
                  <c:v>Frisian</c:v>
                </c:pt>
                <c:pt idx="21">
                  <c:v>Friulian</c:v>
                </c:pt>
                <c:pt idx="22">
                  <c:v>Gaelic;Scottish</c:v>
                </c:pt>
                <c:pt idx="23">
                  <c:v>Galician</c:v>
                </c:pt>
                <c:pt idx="24">
                  <c:v>Gamilaraay</c:v>
                </c:pt>
                <c:pt idx="25">
                  <c:v>German</c:v>
                </c:pt>
                <c:pt idx="26">
                  <c:v>Greek</c:v>
                </c:pt>
                <c:pt idx="27">
                  <c:v>Greek;Ancient</c:v>
                </c:pt>
                <c:pt idx="28">
                  <c:v>Haida</c:v>
                </c:pt>
                <c:pt idx="29">
                  <c:v>Hebrew</c:v>
                </c:pt>
                <c:pt idx="30">
                  <c:v>Hungarian</c:v>
                </c:pt>
                <c:pt idx="31">
                  <c:v>Icelandic</c:v>
                </c:pt>
                <c:pt idx="32">
                  <c:v>Iloko</c:v>
                </c:pt>
                <c:pt idx="33">
                  <c:v>Interlingua</c:v>
                </c:pt>
                <c:pt idx="34">
                  <c:v>Inuktitut</c:v>
                </c:pt>
                <c:pt idx="35">
                  <c:v>Irish</c:v>
                </c:pt>
                <c:pt idx="36">
                  <c:v>Italian</c:v>
                </c:pt>
                <c:pt idx="37">
                  <c:v>Japanese</c:v>
                </c:pt>
                <c:pt idx="38">
                  <c:v>Kashubian</c:v>
                </c:pt>
                <c:pt idx="39">
                  <c:v>Khasi</c:v>
                </c:pt>
                <c:pt idx="40">
                  <c:v>Korean</c:v>
                </c:pt>
                <c:pt idx="41">
                  <c:v>Latin</c:v>
                </c:pt>
                <c:pt idx="42">
                  <c:v>Lithuanian</c:v>
                </c:pt>
                <c:pt idx="43">
                  <c:v>Maori</c:v>
                </c:pt>
                <c:pt idx="44">
                  <c:v>Mayan Languages</c:v>
                </c:pt>
                <c:pt idx="45">
                  <c:v>Middle English</c:v>
                </c:pt>
                <c:pt idx="46">
                  <c:v>Nahuatl</c:v>
                </c:pt>
                <c:pt idx="47">
                  <c:v>Napoletano-Calabrese</c:v>
                </c:pt>
                <c:pt idx="48">
                  <c:v>Navajo</c:v>
                </c:pt>
                <c:pt idx="49">
                  <c:v>North American Indian</c:v>
                </c:pt>
                <c:pt idx="50">
                  <c:v>Norwegian</c:v>
                </c:pt>
                <c:pt idx="51">
                  <c:v>Occitan</c:v>
                </c:pt>
                <c:pt idx="52">
                  <c:v>Ojibwa</c:v>
                </c:pt>
                <c:pt idx="53">
                  <c:v>Old English</c:v>
                </c:pt>
                <c:pt idx="54">
                  <c:v>Polish</c:v>
                </c:pt>
                <c:pt idx="55">
                  <c:v>Portugese</c:v>
                </c:pt>
                <c:pt idx="56">
                  <c:v>Romenian</c:v>
                </c:pt>
                <c:pt idx="57">
                  <c:v>Russian</c:v>
                </c:pt>
                <c:pt idx="58">
                  <c:v>Sanskrit</c:v>
                </c:pt>
                <c:pt idx="59">
                  <c:v>Scots</c:v>
                </c:pt>
                <c:pt idx="60">
                  <c:v>Serbian</c:v>
                </c:pt>
                <c:pt idx="61">
                  <c:v>Slovenian</c:v>
                </c:pt>
                <c:pt idx="62">
                  <c:v>Spanish</c:v>
                </c:pt>
                <c:pt idx="63">
                  <c:v>Swedish</c:v>
                </c:pt>
                <c:pt idx="64">
                  <c:v>Tagabawa</c:v>
                </c:pt>
                <c:pt idx="65">
                  <c:v>Tagalog</c:v>
                </c:pt>
                <c:pt idx="66">
                  <c:v>Telugu</c:v>
                </c:pt>
                <c:pt idx="67">
                  <c:v>Tibetan</c:v>
                </c:pt>
                <c:pt idx="68">
                  <c:v>Welsh</c:v>
                </c:pt>
                <c:pt idx="69">
                  <c:v>Yiddish</c:v>
                </c:pt>
              </c:strCache>
            </c:strRef>
          </c:cat>
          <c:val>
            <c:numRef>
              <c:f>Sheet2!$B$2:$B$72</c:f>
              <c:numCache>
                <c:formatCode>General</c:formatCode>
                <c:ptCount val="70"/>
                <c:pt idx="0">
                  <c:v>15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6</c:v>
                </c:pt>
                <c:pt idx="7">
                  <c:v>1</c:v>
                </c:pt>
                <c:pt idx="8">
                  <c:v>56</c:v>
                </c:pt>
                <c:pt idx="9">
                  <c:v>3</c:v>
                </c:pt>
                <c:pt idx="10">
                  <c:v>444</c:v>
                </c:pt>
                <c:pt idx="11">
                  <c:v>12</c:v>
                </c:pt>
                <c:pt idx="12">
                  <c:v>79</c:v>
                </c:pt>
                <c:pt idx="13">
                  <c:v>1029</c:v>
                </c:pt>
                <c:pt idx="14">
                  <c:v>59983</c:v>
                </c:pt>
                <c:pt idx="15">
                  <c:v>141</c:v>
                </c:pt>
                <c:pt idx="16">
                  <c:v>1</c:v>
                </c:pt>
                <c:pt idx="17">
                  <c:v>1</c:v>
                </c:pt>
                <c:pt idx="18">
                  <c:v>3154</c:v>
                </c:pt>
                <c:pt idx="19">
                  <c:v>3906</c:v>
                </c:pt>
                <c:pt idx="20">
                  <c:v>16</c:v>
                </c:pt>
                <c:pt idx="21">
                  <c:v>7</c:v>
                </c:pt>
                <c:pt idx="22">
                  <c:v>2</c:v>
                </c:pt>
                <c:pt idx="23">
                  <c:v>3</c:v>
                </c:pt>
                <c:pt idx="24">
                  <c:v>1</c:v>
                </c:pt>
                <c:pt idx="25">
                  <c:v>2243</c:v>
                </c:pt>
                <c:pt idx="26">
                  <c:v>221</c:v>
                </c:pt>
                <c:pt idx="27">
                  <c:v>3</c:v>
                </c:pt>
                <c:pt idx="28">
                  <c:v>1</c:v>
                </c:pt>
                <c:pt idx="29">
                  <c:v>7</c:v>
                </c:pt>
                <c:pt idx="30">
                  <c:v>558</c:v>
                </c:pt>
                <c:pt idx="31">
                  <c:v>7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1027</c:v>
                </c:pt>
                <c:pt idx="37">
                  <c:v>22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145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6</c:v>
                </c:pt>
                <c:pt idx="46">
                  <c:v>3</c:v>
                </c:pt>
                <c:pt idx="47">
                  <c:v>1</c:v>
                </c:pt>
                <c:pt idx="48">
                  <c:v>3</c:v>
                </c:pt>
                <c:pt idx="49">
                  <c:v>3</c:v>
                </c:pt>
                <c:pt idx="50">
                  <c:v>21</c:v>
                </c:pt>
                <c:pt idx="51">
                  <c:v>2</c:v>
                </c:pt>
                <c:pt idx="52">
                  <c:v>1</c:v>
                </c:pt>
                <c:pt idx="53">
                  <c:v>4</c:v>
                </c:pt>
                <c:pt idx="54">
                  <c:v>31</c:v>
                </c:pt>
                <c:pt idx="55">
                  <c:v>644</c:v>
                </c:pt>
                <c:pt idx="56">
                  <c:v>5</c:v>
                </c:pt>
                <c:pt idx="57">
                  <c:v>9</c:v>
                </c:pt>
                <c:pt idx="58">
                  <c:v>1</c:v>
                </c:pt>
                <c:pt idx="59">
                  <c:v>1</c:v>
                </c:pt>
                <c:pt idx="60">
                  <c:v>4</c:v>
                </c:pt>
                <c:pt idx="61">
                  <c:v>3</c:v>
                </c:pt>
                <c:pt idx="62">
                  <c:v>870</c:v>
                </c:pt>
                <c:pt idx="63">
                  <c:v>236</c:v>
                </c:pt>
                <c:pt idx="64">
                  <c:v>1</c:v>
                </c:pt>
                <c:pt idx="65">
                  <c:v>60</c:v>
                </c:pt>
                <c:pt idx="66">
                  <c:v>6</c:v>
                </c:pt>
                <c:pt idx="67">
                  <c:v>1</c:v>
                </c:pt>
                <c:pt idx="68">
                  <c:v>15</c:v>
                </c:pt>
                <c:pt idx="6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5-4614-A908-04BA0FED4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126848"/>
        <c:axId val="1987117728"/>
      </c:barChart>
      <c:catAx>
        <c:axId val="198712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87117728"/>
        <c:crosses val="autoZero"/>
        <c:auto val="1"/>
        <c:lblAlgn val="ctr"/>
        <c:lblOffset val="100"/>
        <c:noMultiLvlLbl val="0"/>
      </c:catAx>
      <c:valAx>
        <c:axId val="198711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8712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language_analysis_by_year!$A$73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language_analysis_by_year!$B$72:$AR$72</c:f>
              <c:strCache>
                <c:ptCount val="43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1989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2022</c:v>
                </c:pt>
                <c:pt idx="41">
                  <c:v>2023</c:v>
                </c:pt>
                <c:pt idx="42">
                  <c:v>2024</c:v>
                </c:pt>
              </c:strCache>
            </c:strRef>
          </c:cat>
          <c:val>
            <c:numRef>
              <c:f>language_analysis_by_year!$B$73:$AR$73</c:f>
              <c:numCache>
                <c:formatCode>General</c:formatCode>
                <c:ptCount val="4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5</c:v>
                </c:pt>
                <c:pt idx="10">
                  <c:v>13</c:v>
                </c:pt>
                <c:pt idx="11">
                  <c:v>36</c:v>
                </c:pt>
                <c:pt idx="12">
                  <c:v>58</c:v>
                </c:pt>
                <c:pt idx="13">
                  <c:v>102</c:v>
                </c:pt>
                <c:pt idx="14">
                  <c:v>334</c:v>
                </c:pt>
                <c:pt idx="15">
                  <c:v>315</c:v>
                </c:pt>
                <c:pt idx="16">
                  <c:v>348</c:v>
                </c:pt>
                <c:pt idx="17">
                  <c:v>339</c:v>
                </c:pt>
                <c:pt idx="18">
                  <c:v>311</c:v>
                </c:pt>
                <c:pt idx="19">
                  <c:v>313</c:v>
                </c:pt>
                <c:pt idx="20">
                  <c:v>376</c:v>
                </c:pt>
                <c:pt idx="21">
                  <c:v>1373</c:v>
                </c:pt>
                <c:pt idx="22">
                  <c:v>6363</c:v>
                </c:pt>
                <c:pt idx="23">
                  <c:v>4273</c:v>
                </c:pt>
                <c:pt idx="24">
                  <c:v>2887</c:v>
                </c:pt>
                <c:pt idx="25">
                  <c:v>3203</c:v>
                </c:pt>
                <c:pt idx="26">
                  <c:v>2798</c:v>
                </c:pt>
                <c:pt idx="27">
                  <c:v>2507</c:v>
                </c:pt>
                <c:pt idx="28">
                  <c:v>3282</c:v>
                </c:pt>
                <c:pt idx="29">
                  <c:v>3007</c:v>
                </c:pt>
                <c:pt idx="30">
                  <c:v>2697</c:v>
                </c:pt>
                <c:pt idx="31">
                  <c:v>2230</c:v>
                </c:pt>
                <c:pt idx="32">
                  <c:v>2474</c:v>
                </c:pt>
                <c:pt idx="33">
                  <c:v>2194</c:v>
                </c:pt>
                <c:pt idx="34">
                  <c:v>2237</c:v>
                </c:pt>
                <c:pt idx="35">
                  <c:v>1865</c:v>
                </c:pt>
                <c:pt idx="36">
                  <c:v>1770</c:v>
                </c:pt>
                <c:pt idx="37">
                  <c:v>2013</c:v>
                </c:pt>
                <c:pt idx="38">
                  <c:v>2280</c:v>
                </c:pt>
                <c:pt idx="39">
                  <c:v>2207</c:v>
                </c:pt>
                <c:pt idx="40">
                  <c:v>1983</c:v>
                </c:pt>
                <c:pt idx="41">
                  <c:v>2207</c:v>
                </c:pt>
                <c:pt idx="42">
                  <c:v>1573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A8-4C79-B1BB-E61A63E72CD8}"/>
            </c:ext>
          </c:extLst>
        </c:ser>
        <c:ser>
          <c:idx val="1"/>
          <c:order val="1"/>
          <c:tx>
            <c:strRef>
              <c:f>language_analysis_by_year!$A$74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language_analysis_by_year!$B$72:$AR$72</c:f>
              <c:strCache>
                <c:ptCount val="43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1975</c:v>
                </c:pt>
                <c:pt idx="4">
                  <c:v>1976</c:v>
                </c:pt>
                <c:pt idx="5">
                  <c:v>1977</c:v>
                </c:pt>
                <c:pt idx="6">
                  <c:v>1978</c:v>
                </c:pt>
                <c:pt idx="7">
                  <c:v>1979</c:v>
                </c:pt>
                <c:pt idx="8">
                  <c:v>1989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2022</c:v>
                </c:pt>
                <c:pt idx="41">
                  <c:v>2023</c:v>
                </c:pt>
                <c:pt idx="42">
                  <c:v>2024</c:v>
                </c:pt>
              </c:strCache>
            </c:strRef>
          </c:cat>
          <c:val>
            <c:numRef>
              <c:f>language_analysis_by_year!$B$74:$AR$74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  <c:pt idx="14">
                  <c:v>3</c:v>
                </c:pt>
                <c:pt idx="15">
                  <c:v>20</c:v>
                </c:pt>
                <c:pt idx="16">
                  <c:v>2</c:v>
                </c:pt>
                <c:pt idx="17">
                  <c:v>5</c:v>
                </c:pt>
                <c:pt idx="18">
                  <c:v>43</c:v>
                </c:pt>
                <c:pt idx="19">
                  <c:v>20</c:v>
                </c:pt>
                <c:pt idx="20">
                  <c:v>33</c:v>
                </c:pt>
                <c:pt idx="21">
                  <c:v>111</c:v>
                </c:pt>
                <c:pt idx="22">
                  <c:v>775</c:v>
                </c:pt>
                <c:pt idx="23">
                  <c:v>863</c:v>
                </c:pt>
                <c:pt idx="24">
                  <c:v>761</c:v>
                </c:pt>
                <c:pt idx="25">
                  <c:v>659</c:v>
                </c:pt>
                <c:pt idx="26">
                  <c:v>932</c:v>
                </c:pt>
                <c:pt idx="27">
                  <c:v>662</c:v>
                </c:pt>
                <c:pt idx="28">
                  <c:v>710</c:v>
                </c:pt>
                <c:pt idx="29">
                  <c:v>659</c:v>
                </c:pt>
                <c:pt idx="30">
                  <c:v>599</c:v>
                </c:pt>
                <c:pt idx="31">
                  <c:v>600</c:v>
                </c:pt>
                <c:pt idx="32">
                  <c:v>811</c:v>
                </c:pt>
                <c:pt idx="33">
                  <c:v>791</c:v>
                </c:pt>
                <c:pt idx="34">
                  <c:v>809</c:v>
                </c:pt>
                <c:pt idx="35">
                  <c:v>571</c:v>
                </c:pt>
                <c:pt idx="36">
                  <c:v>539</c:v>
                </c:pt>
                <c:pt idx="37">
                  <c:v>473</c:v>
                </c:pt>
                <c:pt idx="38">
                  <c:v>851</c:v>
                </c:pt>
                <c:pt idx="39">
                  <c:v>662</c:v>
                </c:pt>
                <c:pt idx="40">
                  <c:v>589</c:v>
                </c:pt>
                <c:pt idx="41">
                  <c:v>644</c:v>
                </c:pt>
                <c:pt idx="42">
                  <c:v>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A8-4C79-B1BB-E61A63E72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436416"/>
        <c:axId val="671433536"/>
      </c:lineChart>
      <c:catAx>
        <c:axId val="67143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1433536"/>
        <c:crosses val="autoZero"/>
        <c:auto val="1"/>
        <c:lblAlgn val="ctr"/>
        <c:lblOffset val="100"/>
        <c:noMultiLvlLbl val="0"/>
      </c:catAx>
      <c:valAx>
        <c:axId val="67143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7143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29</xdr:col>
      <xdr:colOff>209550</xdr:colOff>
      <xdr:row>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57E11-7E63-54E0-EC74-6F1DDAD6D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612321</xdr:colOff>
      <xdr:row>8</xdr:row>
      <xdr:rowOff>84365</xdr:rowOff>
    </xdr:from>
    <xdr:to>
      <xdr:col>28</xdr:col>
      <xdr:colOff>421821</xdr:colOff>
      <xdr:row>50</xdr:row>
      <xdr:rowOff>176893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0394104-D560-AA7B-EB24-9F2F27E1F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rk" refreshedDate="45664.682947685185" createdVersion="8" refreshedVersion="8" minRefreshableVersion="3" recordCount="70" xr:uid="{E2F76AFD-82A2-4E34-9F2A-7249C8B70408}">
  <cacheSource type="worksheet">
    <worksheetSource name="language_analysis_by_year"/>
  </cacheSource>
  <cacheFields count="45">
    <cacheField name="Language" numFmtId="0">
      <sharedItems count="70">
        <s v="English"/>
        <s v="French"/>
        <s v="Finnish"/>
        <s v="German"/>
        <s v="Dutch"/>
        <s v="Italian"/>
        <s v="Spanish"/>
        <s v="Portugese"/>
        <s v="Hungarian"/>
        <s v="Chinese"/>
        <s v="Swedish"/>
        <s v="Greek"/>
        <s v="Latin"/>
        <s v="Esperanto"/>
        <s v="Danish"/>
        <s v="Tagalog"/>
        <s v="Catalan"/>
        <s v="Polish"/>
        <s v="Japanese"/>
        <s v="Norwegian"/>
        <s v="Frisian"/>
        <s v="Afrikaans"/>
        <s v="Welsh"/>
        <s v="Czech"/>
        <s v="Russian"/>
        <s v="Friulian"/>
        <s v="Hebrew"/>
        <s v="Icelandic"/>
        <s v="Bulgarian"/>
        <s v="Middle English"/>
        <s v="Telugu"/>
        <s v="Romenian"/>
        <s v="Old English"/>
        <s v="Serbian"/>
        <s v="Cebuano"/>
        <s v="Irish"/>
        <s v="Galician"/>
        <s v="Greek;Ancient"/>
        <s v="Iloko"/>
        <s v="Mayan Languages"/>
        <s v="Nahuatl"/>
        <s v="North American Indian"/>
        <s v="Navajo"/>
        <s v="Slovenian"/>
        <s v="Arapaho"/>
        <s v="Bodo"/>
        <s v="Gaelic;Scottish"/>
        <s v="Maori"/>
        <s v="Occitan"/>
        <s v="Aleut"/>
        <s v="Arabic"/>
        <s v="Tagabawa"/>
        <s v="Tibetan"/>
        <s v="Breton"/>
        <s v="Kashubian"/>
        <s v="Estonian"/>
        <s v="Farsi"/>
        <s v="Haida"/>
        <s v="Interlingua"/>
        <s v="Inuktitut"/>
        <s v="Khasi"/>
        <s v="Gamilaraay"/>
        <s v="Korean"/>
        <s v="Lithuanian"/>
        <s v="Napoletano-Calabrese"/>
        <s v="Ojibwa"/>
        <s v="Caló"/>
        <s v="Sanskrit"/>
        <s v="Scots"/>
        <s v="Yiddish"/>
      </sharedItems>
    </cacheField>
    <cacheField name="1971" numFmtId="0">
      <sharedItems containsSemiMixedTypes="0" containsString="0" containsNumber="1" containsInteger="1" minValue="0" maxValue="1"/>
    </cacheField>
    <cacheField name="1972" numFmtId="0">
      <sharedItems containsSemiMixedTypes="0" containsString="0" containsNumber="1" containsInteger="1" minValue="0" maxValue="1"/>
    </cacheField>
    <cacheField name="1973" numFmtId="0">
      <sharedItems containsSemiMixedTypes="0" containsString="0" containsNumber="1" containsInteger="1" minValue="0" maxValue="2"/>
    </cacheField>
    <cacheField name="1975" numFmtId="0">
      <sharedItems containsSemiMixedTypes="0" containsString="0" containsNumber="1" containsInteger="1" minValue="0" maxValue="1"/>
    </cacheField>
    <cacheField name="1976" numFmtId="0">
      <sharedItems containsSemiMixedTypes="0" containsString="0" containsNumber="1" containsInteger="1" minValue="0" maxValue="1"/>
    </cacheField>
    <cacheField name="1977" numFmtId="0">
      <sharedItems containsSemiMixedTypes="0" containsString="0" containsNumber="1" containsInteger="1" minValue="0" maxValue="1"/>
    </cacheField>
    <cacheField name="1978" numFmtId="0">
      <sharedItems containsSemiMixedTypes="0" containsString="0" containsNumber="1" containsInteger="1" minValue="0" maxValue="1"/>
    </cacheField>
    <cacheField name="1979" numFmtId="0">
      <sharedItems containsSemiMixedTypes="0" containsString="0" containsNumber="1" containsInteger="1" minValue="0" maxValue="1"/>
    </cacheField>
    <cacheField name="1989" numFmtId="0">
      <sharedItems containsSemiMixedTypes="0" containsString="0" containsNumber="1" containsInteger="1" minValue="0" maxValue="1"/>
    </cacheField>
    <cacheField name="1991" numFmtId="0">
      <sharedItems containsSemiMixedTypes="0" containsString="0" containsNumber="1" containsInteger="1" minValue="0" maxValue="5"/>
    </cacheField>
    <cacheField name="1992" numFmtId="0">
      <sharedItems containsSemiMixedTypes="0" containsString="0" containsNumber="1" containsInteger="1" minValue="0" maxValue="13"/>
    </cacheField>
    <cacheField name="1993" numFmtId="0">
      <sharedItems containsSemiMixedTypes="0" containsString="0" containsNumber="1" containsInteger="1" minValue="0" maxValue="36"/>
    </cacheField>
    <cacheField name="1994" numFmtId="0">
      <sharedItems containsSemiMixedTypes="0" containsString="0" containsNumber="1" containsInteger="1" minValue="0" maxValue="58"/>
    </cacheField>
    <cacheField name="1995" numFmtId="0">
      <sharedItems containsSemiMixedTypes="0" containsString="0" containsNumber="1" containsInteger="1" minValue="0" maxValue="102"/>
    </cacheField>
    <cacheField name="1996" numFmtId="0">
      <sharedItems containsSemiMixedTypes="0" containsString="0" containsNumber="1" containsInteger="1" minValue="0" maxValue="334"/>
    </cacheField>
    <cacheField name="1997" numFmtId="0">
      <sharedItems containsSemiMixedTypes="0" containsString="0" containsNumber="1" containsInteger="1" minValue="0" maxValue="315"/>
    </cacheField>
    <cacheField name="1998" numFmtId="0">
      <sharedItems containsSemiMixedTypes="0" containsString="0" containsNumber="1" containsInteger="1" minValue="0" maxValue="348"/>
    </cacheField>
    <cacheField name="1999" numFmtId="0">
      <sharedItems containsSemiMixedTypes="0" containsString="0" containsNumber="1" containsInteger="1" minValue="0" maxValue="339"/>
    </cacheField>
    <cacheField name="2000" numFmtId="0">
      <sharedItems containsSemiMixedTypes="0" containsString="0" containsNumber="1" containsInteger="1" minValue="0" maxValue="311"/>
    </cacheField>
    <cacheField name="2001" numFmtId="0">
      <sharedItems containsSemiMixedTypes="0" containsString="0" containsNumber="1" containsInteger="1" minValue="0" maxValue="313"/>
    </cacheField>
    <cacheField name="2002" numFmtId="0">
      <sharedItems containsSemiMixedTypes="0" containsString="0" containsNumber="1" containsInteger="1" minValue="0" maxValue="376"/>
    </cacheField>
    <cacheField name="2003" numFmtId="0">
      <sharedItems containsSemiMixedTypes="0" containsString="0" containsNumber="1" containsInteger="1" minValue="0" maxValue="1373"/>
    </cacheField>
    <cacheField name="2004" numFmtId="0">
      <sharedItems containsSemiMixedTypes="0" containsString="0" containsNumber="1" containsInteger="1" minValue="0" maxValue="6363"/>
    </cacheField>
    <cacheField name="2005" numFmtId="0">
      <sharedItems containsSemiMixedTypes="0" containsString="0" containsNumber="1" containsInteger="1" minValue="0" maxValue="4273"/>
    </cacheField>
    <cacheField name="2006" numFmtId="0">
      <sharedItems containsSemiMixedTypes="0" containsString="0" containsNumber="1" containsInteger="1" minValue="0" maxValue="2887"/>
    </cacheField>
    <cacheField name="2007" numFmtId="0">
      <sharedItems containsSemiMixedTypes="0" containsString="0" containsNumber="1" containsInteger="1" minValue="0" maxValue="3203"/>
    </cacheField>
    <cacheField name="2008" numFmtId="0">
      <sharedItems containsSemiMixedTypes="0" containsString="0" containsNumber="1" containsInteger="1" minValue="0" maxValue="2798"/>
    </cacheField>
    <cacheField name="2009" numFmtId="0">
      <sharedItems containsSemiMixedTypes="0" containsString="0" containsNumber="1" containsInteger="1" minValue="0" maxValue="2507"/>
    </cacheField>
    <cacheField name="2010" numFmtId="0">
      <sharedItems containsSemiMixedTypes="0" containsString="0" containsNumber="1" containsInteger="1" minValue="0" maxValue="3282"/>
    </cacheField>
    <cacheField name="2011" numFmtId="0">
      <sharedItems containsSemiMixedTypes="0" containsString="0" containsNumber="1" containsInteger="1" minValue="0" maxValue="3007"/>
    </cacheField>
    <cacheField name="2012" numFmtId="0">
      <sharedItems containsSemiMixedTypes="0" containsString="0" containsNumber="1" containsInteger="1" minValue="0" maxValue="2697"/>
    </cacheField>
    <cacheField name="2013" numFmtId="0">
      <sharedItems containsSemiMixedTypes="0" containsString="0" containsNumber="1" containsInteger="1" minValue="0" maxValue="2230"/>
    </cacheField>
    <cacheField name="2014" numFmtId="0">
      <sharedItems containsSemiMixedTypes="0" containsString="0" containsNumber="1" containsInteger="1" minValue="0" maxValue="2474"/>
    </cacheField>
    <cacheField name="2015" numFmtId="0">
      <sharedItems containsSemiMixedTypes="0" containsString="0" containsNumber="1" containsInteger="1" minValue="0" maxValue="2194"/>
    </cacheField>
    <cacheField name="2016" numFmtId="0">
      <sharedItems containsSemiMixedTypes="0" containsString="0" containsNumber="1" containsInteger="1" minValue="0" maxValue="2237"/>
    </cacheField>
    <cacheField name="2017" numFmtId="0">
      <sharedItems containsSemiMixedTypes="0" containsString="0" containsNumber="1" containsInteger="1" minValue="0" maxValue="1865"/>
    </cacheField>
    <cacheField name="2018" numFmtId="0">
      <sharedItems containsSemiMixedTypes="0" containsString="0" containsNumber="1" containsInteger="1" minValue="0" maxValue="1770"/>
    </cacheField>
    <cacheField name="2019" numFmtId="0">
      <sharedItems containsSemiMixedTypes="0" containsString="0" containsNumber="1" containsInteger="1" minValue="0" maxValue="2013"/>
    </cacheField>
    <cacheField name="2020" numFmtId="0">
      <sharedItems containsSemiMixedTypes="0" containsString="0" containsNumber="1" containsInteger="1" minValue="0" maxValue="2280"/>
    </cacheField>
    <cacheField name="2021" numFmtId="0">
      <sharedItems containsSemiMixedTypes="0" containsString="0" containsNumber="1" containsInteger="1" minValue="0" maxValue="2207"/>
    </cacheField>
    <cacheField name="2022" numFmtId="0">
      <sharedItems containsSemiMixedTypes="0" containsString="0" containsNumber="1" containsInteger="1" minValue="0" maxValue="1983"/>
    </cacheField>
    <cacheField name="2023" numFmtId="0">
      <sharedItems containsSemiMixedTypes="0" containsString="0" containsNumber="1" containsInteger="1" minValue="0" maxValue="2207"/>
    </cacheField>
    <cacheField name="2024" numFmtId="0">
      <sharedItems containsSemiMixedTypes="0" containsString="0" containsNumber="1" containsInteger="1" minValue="0" maxValue="1573"/>
    </cacheField>
    <cacheField name="Total" numFmtId="0">
      <sharedItems containsSemiMixedTypes="0" containsString="0" containsNumber="1" containsInteger="1" minValue="1" maxValue="599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n v="1"/>
    <n v="1"/>
    <n v="2"/>
    <n v="1"/>
    <n v="1"/>
    <n v="1"/>
    <n v="1"/>
    <n v="1"/>
    <n v="1"/>
    <n v="5"/>
    <n v="13"/>
    <n v="36"/>
    <n v="58"/>
    <n v="102"/>
    <n v="334"/>
    <n v="315"/>
    <n v="348"/>
    <n v="339"/>
    <n v="311"/>
    <n v="313"/>
    <n v="376"/>
    <n v="1373"/>
    <n v="6363"/>
    <n v="4273"/>
    <n v="2887"/>
    <n v="3203"/>
    <n v="2798"/>
    <n v="2507"/>
    <n v="3282"/>
    <n v="3007"/>
    <n v="2697"/>
    <n v="2230"/>
    <n v="2474"/>
    <n v="2194"/>
    <n v="2237"/>
    <n v="1865"/>
    <n v="1770"/>
    <n v="2013"/>
    <n v="2280"/>
    <n v="2207"/>
    <n v="1983"/>
    <n v="2207"/>
    <n v="1573"/>
    <n v="59983"/>
  </r>
  <r>
    <x v="1"/>
    <n v="0"/>
    <n v="0"/>
    <n v="0"/>
    <n v="0"/>
    <n v="0"/>
    <n v="0"/>
    <n v="0"/>
    <n v="0"/>
    <n v="0"/>
    <n v="0"/>
    <n v="0"/>
    <n v="0"/>
    <n v="0"/>
    <n v="0"/>
    <n v="0"/>
    <n v="8"/>
    <n v="2"/>
    <n v="2"/>
    <n v="1"/>
    <n v="6"/>
    <n v="1"/>
    <n v="39"/>
    <n v="328"/>
    <n v="263"/>
    <n v="319"/>
    <n v="163"/>
    <n v="213"/>
    <n v="187"/>
    <n v="185"/>
    <n v="239"/>
    <n v="188"/>
    <n v="191"/>
    <n v="185"/>
    <n v="112"/>
    <n v="129"/>
    <n v="79"/>
    <n v="110"/>
    <n v="84"/>
    <n v="201"/>
    <n v="160"/>
    <n v="133"/>
    <n v="168"/>
    <n v="210"/>
    <n v="3906"/>
  </r>
  <r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14"/>
    <n v="142"/>
    <n v="91"/>
    <n v="65"/>
    <n v="64"/>
    <n v="37"/>
    <n v="41"/>
    <n v="82"/>
    <n v="61"/>
    <n v="73"/>
    <n v="206"/>
    <n v="267"/>
    <n v="326"/>
    <n v="230"/>
    <n v="154"/>
    <n v="150"/>
    <n v="210"/>
    <n v="129"/>
    <n v="86"/>
    <n v="229"/>
    <n v="393"/>
    <n v="3154"/>
  </r>
  <r>
    <x v="3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37"/>
    <n v="5"/>
    <n v="28"/>
    <n v="26"/>
    <n v="116"/>
    <n v="139"/>
    <n v="61"/>
    <n v="85"/>
    <n v="59"/>
    <n v="67"/>
    <n v="104"/>
    <n v="91"/>
    <n v="111"/>
    <n v="79"/>
    <n v="181"/>
    <n v="172"/>
    <n v="159"/>
    <n v="117"/>
    <n v="74"/>
    <n v="110"/>
    <n v="115"/>
    <n v="83"/>
    <n v="97"/>
    <n v="67"/>
    <n v="58"/>
    <n v="2243"/>
  </r>
  <r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6"/>
    <n v="80"/>
    <n v="71"/>
    <n v="87"/>
    <n v="62"/>
    <n v="70"/>
    <n v="76"/>
    <n v="54"/>
    <n v="55"/>
    <n v="40"/>
    <n v="40"/>
    <n v="36"/>
    <n v="40"/>
    <n v="25"/>
    <n v="27"/>
    <n v="25"/>
    <n v="8"/>
    <n v="32"/>
    <n v="55"/>
    <n v="65"/>
    <n v="42"/>
    <n v="30"/>
    <n v="1029"/>
  </r>
  <r>
    <x v="5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8"/>
    <n v="15"/>
    <n v="12"/>
    <n v="61"/>
    <n v="24"/>
    <n v="44"/>
    <n v="52"/>
    <n v="40"/>
    <n v="55"/>
    <n v="39"/>
    <n v="100"/>
    <n v="116"/>
    <n v="87"/>
    <n v="35"/>
    <n v="10"/>
    <n v="41"/>
    <n v="58"/>
    <n v="60"/>
    <n v="37"/>
    <n v="24"/>
    <n v="56"/>
    <n v="45"/>
    <n v="1027"/>
  </r>
  <r>
    <x v="6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1"/>
    <n v="0"/>
    <n v="0"/>
    <n v="7"/>
    <n v="55"/>
    <n v="49"/>
    <n v="27"/>
    <n v="24"/>
    <n v="52"/>
    <n v="52"/>
    <n v="29"/>
    <n v="21"/>
    <n v="29"/>
    <n v="33"/>
    <n v="43"/>
    <n v="52"/>
    <n v="57"/>
    <n v="45"/>
    <n v="41"/>
    <n v="33"/>
    <n v="67"/>
    <n v="47"/>
    <n v="48"/>
    <n v="27"/>
    <n v="28"/>
    <n v="870"/>
  </r>
  <r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6"/>
    <n v="28"/>
    <n v="34"/>
    <n v="100"/>
    <n v="118"/>
    <n v="92"/>
    <n v="120"/>
    <n v="20"/>
    <n v="9"/>
    <n v="4"/>
    <n v="5"/>
    <n v="1"/>
    <n v="5"/>
    <n v="4"/>
    <n v="3"/>
    <n v="3"/>
    <n v="35"/>
    <n v="1"/>
    <n v="32"/>
    <n v="17"/>
    <n v="5"/>
    <n v="644"/>
  </r>
  <r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6"/>
    <n v="1"/>
    <n v="2"/>
    <n v="7"/>
    <n v="6"/>
    <n v="0"/>
    <n v="46"/>
    <n v="32"/>
    <n v="10"/>
    <n v="1"/>
    <n v="0"/>
    <n v="18"/>
    <n v="53"/>
    <n v="0"/>
    <n v="96"/>
    <n v="119"/>
    <n v="92"/>
    <n v="23"/>
    <n v="45"/>
    <n v="558"/>
  </r>
  <r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0"/>
    <n v="3"/>
    <n v="55"/>
    <n v="0"/>
    <n v="78"/>
    <n v="247"/>
    <n v="11"/>
    <n v="0"/>
    <n v="0"/>
    <n v="2"/>
    <n v="3"/>
    <n v="0"/>
    <n v="1"/>
    <n v="16"/>
    <n v="9"/>
    <n v="5"/>
    <n v="0"/>
    <n v="1"/>
    <n v="0"/>
    <n v="1"/>
    <n v="0"/>
    <n v="0"/>
    <n v="444"/>
  </r>
  <r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9"/>
    <n v="14"/>
    <n v="9"/>
    <n v="5"/>
    <n v="11"/>
    <n v="11"/>
    <n v="7"/>
    <n v="0"/>
    <n v="5"/>
    <n v="0"/>
    <n v="6"/>
    <n v="38"/>
    <n v="31"/>
    <n v="23"/>
    <n v="19"/>
    <n v="12"/>
    <n v="9"/>
    <n v="11"/>
    <n v="1"/>
    <n v="6"/>
    <n v="7"/>
    <n v="236"/>
  </r>
  <r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5"/>
    <n v="0"/>
    <n v="9"/>
    <n v="28"/>
    <n v="69"/>
    <n v="56"/>
    <n v="38"/>
    <n v="13"/>
    <n v="0"/>
    <n v="0"/>
    <n v="0"/>
    <n v="0"/>
    <n v="1"/>
    <n v="0"/>
    <n v="0"/>
    <n v="1"/>
    <n v="0"/>
    <n v="0"/>
    <n v="0"/>
    <n v="221"/>
  </r>
  <r>
    <x v="12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  <n v="0"/>
    <n v="0"/>
    <n v="3"/>
    <n v="1"/>
    <n v="17"/>
    <n v="9"/>
    <n v="11"/>
    <n v="10"/>
    <n v="5"/>
    <n v="9"/>
    <n v="5"/>
    <n v="7"/>
    <n v="4"/>
    <n v="5"/>
    <n v="5"/>
    <n v="12"/>
    <n v="2"/>
    <n v="7"/>
    <n v="5"/>
    <n v="2"/>
    <n v="2"/>
    <n v="2"/>
    <n v="5"/>
    <n v="7"/>
    <n v="145"/>
  </r>
  <r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4"/>
    <n v="16"/>
    <n v="16"/>
    <n v="17"/>
    <n v="7"/>
    <n v="9"/>
    <n v="10"/>
    <n v="3"/>
    <n v="5"/>
    <n v="7"/>
    <n v="8"/>
    <n v="9"/>
    <n v="3"/>
    <n v="2"/>
    <n v="1"/>
    <n v="11"/>
    <n v="4"/>
    <n v="4"/>
    <n v="1"/>
    <n v="2"/>
    <n v="141"/>
  </r>
  <r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13"/>
    <n v="1"/>
    <n v="1"/>
    <n v="0"/>
    <n v="3"/>
    <n v="2"/>
    <n v="12"/>
    <n v="8"/>
    <n v="10"/>
    <n v="9"/>
    <n v="3"/>
    <n v="1"/>
    <n v="1"/>
    <n v="1"/>
    <n v="0"/>
    <n v="1"/>
    <n v="4"/>
    <n v="6"/>
    <n v="0"/>
    <n v="0"/>
    <n v="0"/>
    <n v="79"/>
  </r>
  <r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23"/>
    <n v="17"/>
    <n v="2"/>
    <n v="0"/>
    <n v="0"/>
    <n v="0"/>
    <n v="1"/>
    <n v="0"/>
    <n v="2"/>
    <n v="3"/>
    <n v="0"/>
    <n v="0"/>
    <n v="0"/>
    <n v="0"/>
    <n v="0"/>
    <n v="0"/>
    <n v="0"/>
    <n v="0"/>
    <n v="0"/>
    <n v="0"/>
    <n v="60"/>
  </r>
  <r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7"/>
    <n v="5"/>
    <n v="5"/>
    <n v="5"/>
    <n v="1"/>
    <n v="3"/>
    <n v="2"/>
    <n v="0"/>
    <n v="0"/>
    <n v="0"/>
    <n v="0"/>
    <n v="2"/>
    <n v="0"/>
    <n v="2"/>
    <n v="0"/>
    <n v="1"/>
    <n v="0"/>
    <n v="0"/>
    <n v="0"/>
    <n v="22"/>
    <n v="56"/>
  </r>
  <r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0"/>
    <n v="4"/>
    <n v="15"/>
    <n v="5"/>
    <n v="2"/>
    <n v="1"/>
    <n v="0"/>
    <n v="0"/>
    <n v="0"/>
    <n v="0"/>
    <n v="0"/>
    <n v="0"/>
    <n v="0"/>
    <n v="0"/>
    <n v="0"/>
    <n v="0"/>
    <n v="0"/>
    <n v="0"/>
    <n v="31"/>
  </r>
  <r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9"/>
    <n v="7"/>
    <n v="3"/>
    <n v="0"/>
    <n v="0"/>
    <n v="0"/>
    <n v="0"/>
    <n v="0"/>
    <n v="0"/>
    <n v="0"/>
    <n v="0"/>
    <n v="0"/>
    <n v="0"/>
    <n v="0"/>
    <n v="0"/>
    <n v="22"/>
  </r>
  <r>
    <x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5"/>
    <n v="0"/>
    <n v="1"/>
    <n v="0"/>
    <n v="1"/>
    <n v="4"/>
    <n v="0"/>
    <n v="0"/>
    <n v="3"/>
    <n v="0"/>
    <n v="0"/>
    <n v="0"/>
    <n v="1"/>
    <n v="1"/>
    <n v="1"/>
    <n v="1"/>
    <n v="0"/>
    <n v="0"/>
    <n v="0"/>
    <n v="0"/>
    <n v="21"/>
  </r>
  <r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1"/>
    <n v="1"/>
    <n v="0"/>
    <n v="0"/>
    <n v="0"/>
    <n v="10"/>
    <n v="16"/>
  </r>
  <r>
    <x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1"/>
    <n v="0"/>
    <n v="0"/>
    <n v="0"/>
    <n v="0"/>
    <n v="0"/>
    <n v="0"/>
    <n v="4"/>
    <n v="4"/>
    <n v="0"/>
    <n v="3"/>
    <n v="0"/>
    <n v="15"/>
  </r>
  <r>
    <x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2"/>
    <n v="2"/>
    <n v="2"/>
    <n v="1"/>
    <n v="0"/>
    <n v="0"/>
    <n v="0"/>
    <n v="0"/>
    <n v="0"/>
    <n v="0"/>
    <n v="0"/>
    <n v="1"/>
    <n v="0"/>
    <n v="1"/>
    <n v="1"/>
    <n v="0"/>
    <n v="0"/>
    <n v="0"/>
    <n v="2"/>
    <n v="0"/>
    <n v="0"/>
    <n v="15"/>
  </r>
  <r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4"/>
    <n v="1"/>
    <n v="1"/>
    <n v="0"/>
    <n v="0"/>
    <n v="1"/>
    <n v="0"/>
    <n v="0"/>
    <n v="0"/>
    <n v="0"/>
    <n v="1"/>
    <n v="0"/>
    <n v="0"/>
    <n v="1"/>
    <n v="0"/>
    <n v="0"/>
    <n v="12"/>
  </r>
  <r>
    <x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9"/>
  </r>
  <r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7"/>
  </r>
  <r>
    <x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0"/>
    <n v="1"/>
    <n v="1"/>
    <n v="0"/>
    <n v="0"/>
    <n v="0"/>
    <n v="0"/>
    <n v="1"/>
    <n v="0"/>
    <n v="0"/>
    <n v="0"/>
    <n v="0"/>
    <n v="0"/>
    <n v="7"/>
  </r>
  <r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7"/>
  </r>
  <r>
    <x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</r>
  <r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6"/>
  </r>
  <r>
    <x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1"/>
    <n v="0"/>
    <n v="0"/>
    <n v="0"/>
    <n v="0"/>
    <n v="0"/>
    <n v="0"/>
    <n v="0"/>
    <n v="0"/>
    <n v="0"/>
    <n v="6"/>
  </r>
  <r>
    <x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2"/>
    <n v="0"/>
    <n v="0"/>
    <n v="0"/>
    <n v="5"/>
  </r>
  <r>
    <x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4"/>
  </r>
  <r>
    <x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</r>
  <r>
    <x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3"/>
  </r>
  <r>
    <x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3"/>
  </r>
  <r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3"/>
  </r>
  <r>
    <x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3"/>
  </r>
  <r>
    <x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</r>
  <r>
    <x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3"/>
  </r>
  <r>
    <x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3"/>
  </r>
  <r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3"/>
  </r>
  <r>
    <x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0"/>
    <n v="0"/>
    <n v="0"/>
    <n v="0"/>
    <n v="0"/>
    <n v="0"/>
    <n v="3"/>
  </r>
  <r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3"/>
  </r>
  <r>
    <x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2"/>
  </r>
  <r>
    <x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2"/>
  </r>
  <r>
    <x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2"/>
  </r>
  <r>
    <x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2"/>
  </r>
  <r>
    <x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</r>
  <r>
    <x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</r>
  <r>
    <x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</r>
  <r>
    <x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</r>
  <r>
    <x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</r>
  <r>
    <x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x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x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</r>
  <r>
    <x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</r>
  <r>
    <x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</r>
  <r>
    <x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E13A3-E2C8-40A7-B626-85F9B9639CD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Languages">
  <location ref="A1:B72" firstHeaderRow="1" firstDataRow="1" firstDataCol="1"/>
  <pivotFields count="45">
    <pivotField axis="axisRow" showAll="0">
      <items count="71">
        <item x="21"/>
        <item x="49"/>
        <item x="50"/>
        <item x="44"/>
        <item x="45"/>
        <item x="53"/>
        <item x="28"/>
        <item x="66"/>
        <item x="16"/>
        <item x="34"/>
        <item x="9"/>
        <item x="23"/>
        <item x="14"/>
        <item x="4"/>
        <item x="0"/>
        <item x="13"/>
        <item x="55"/>
        <item x="56"/>
        <item x="2"/>
        <item x="1"/>
        <item x="20"/>
        <item x="25"/>
        <item x="46"/>
        <item x="36"/>
        <item x="61"/>
        <item x="3"/>
        <item x="11"/>
        <item x="37"/>
        <item x="57"/>
        <item x="26"/>
        <item x="8"/>
        <item x="27"/>
        <item x="38"/>
        <item x="58"/>
        <item x="59"/>
        <item x="35"/>
        <item x="5"/>
        <item x="18"/>
        <item x="54"/>
        <item x="60"/>
        <item x="62"/>
        <item x="12"/>
        <item x="63"/>
        <item x="47"/>
        <item x="39"/>
        <item x="29"/>
        <item x="40"/>
        <item x="64"/>
        <item x="42"/>
        <item x="41"/>
        <item x="19"/>
        <item x="48"/>
        <item x="65"/>
        <item x="32"/>
        <item x="17"/>
        <item x="7"/>
        <item x="31"/>
        <item x="24"/>
        <item x="67"/>
        <item x="68"/>
        <item x="33"/>
        <item x="43"/>
        <item x="6"/>
        <item x="10"/>
        <item x="51"/>
        <item x="15"/>
        <item x="30"/>
        <item x="52"/>
        <item x="22"/>
        <item x="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Total Books" fld="4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654E9DD-BBD8-431F-ADBF-C86D596C41B1}" autoFormatId="16" applyNumberFormats="0" applyBorderFormats="0" applyFontFormats="0" applyPatternFormats="0" applyAlignmentFormats="0" applyWidthHeightFormats="0">
  <queryTableRefresh nextId="46" unboundColumnsRight="1">
    <queryTableFields count="4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dataBound="0" tableColumnId="4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4D0627-FB19-4766-9100-2DBBD278DA2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2CC33F-73D0-4E6B-829C-11226C6556C9}" name="language_analysis_by_year" displayName="language_analysis_by_year" ref="A1:AS71" tableType="queryTable">
  <autoFilter ref="A1:AS71" xr:uid="{292CC33F-73D0-4E6B-829C-11226C6556C9}"/>
  <sortState xmlns:xlrd2="http://schemas.microsoft.com/office/spreadsheetml/2017/richdata2" ref="A2:AS71">
    <sortCondition descending="1" ref="AS1:AS71"/>
  </sortState>
  <tableColumns count="45">
    <tableColumn id="1" xr3:uid="{1C1D6EF6-780F-4A31-871F-08A828AE64F5}" uniqueName="1" name="Language" totalsRowLabel="Total" queryTableFieldId="1" dataDxfId="0"/>
    <tableColumn id="2" xr3:uid="{5E0F510B-844C-4A8A-A88A-1F7F28E47C59}" uniqueName="2" name="1971" queryTableFieldId="2"/>
    <tableColumn id="3" xr3:uid="{7BF41A4B-52F8-4781-88CD-7C4F10A15FF3}" uniqueName="3" name="1972" queryTableFieldId="3"/>
    <tableColumn id="4" xr3:uid="{1D8F353E-968D-44FC-A439-298DF8E85150}" uniqueName="4" name="1973" queryTableFieldId="4"/>
    <tableColumn id="5" xr3:uid="{6997AC4F-8900-40D2-B789-6F35F37102BE}" uniqueName="5" name="1975" queryTableFieldId="5"/>
    <tableColumn id="6" xr3:uid="{A21AC4D9-41C9-40F7-989A-C655350D4D3E}" uniqueName="6" name="1976" queryTableFieldId="6"/>
    <tableColumn id="7" xr3:uid="{7C9B74BF-B22F-42D1-A16A-845E38156667}" uniqueName="7" name="1977" queryTableFieldId="7"/>
    <tableColumn id="8" xr3:uid="{BCDB6440-8D16-4108-8729-123D03FD2B99}" uniqueName="8" name="1978" queryTableFieldId="8"/>
    <tableColumn id="9" xr3:uid="{7EABFFF4-4F25-4F53-B6DC-0641CD580C64}" uniqueName="9" name="1979" queryTableFieldId="9"/>
    <tableColumn id="10" xr3:uid="{D1B48477-D32D-45DC-A4E9-428D14CF696F}" uniqueName="10" name="1989" queryTableFieldId="10"/>
    <tableColumn id="11" xr3:uid="{CF0CC8CC-5A1E-445B-9E2A-7F48CCDADA5B}" uniqueName="11" name="1991" queryTableFieldId="11"/>
    <tableColumn id="12" xr3:uid="{C99EB3E7-14FB-4EB5-B41A-FCEFA1928D0E}" uniqueName="12" name="1992" queryTableFieldId="12"/>
    <tableColumn id="13" xr3:uid="{393ED208-CF09-486E-9998-4BCA8817563C}" uniqueName="13" name="1993" queryTableFieldId="13"/>
    <tableColumn id="14" xr3:uid="{5DF05630-9DEC-4B53-AAE3-4BE88DF41F21}" uniqueName="14" name="1994" queryTableFieldId="14"/>
    <tableColumn id="15" xr3:uid="{943E4F42-70F7-421E-8244-204E710123D7}" uniqueName="15" name="1995" queryTableFieldId="15"/>
    <tableColumn id="16" xr3:uid="{5B88BF07-C513-422E-B101-DBA0AFEA5A6A}" uniqueName="16" name="1996" queryTableFieldId="16"/>
    <tableColumn id="17" xr3:uid="{203E733E-97D7-4E93-91DC-BAA9CD7F4E13}" uniqueName="17" name="1997" queryTableFieldId="17"/>
    <tableColumn id="18" xr3:uid="{6DC0D336-1651-4C14-B971-42ACCD1D1372}" uniqueName="18" name="1998" queryTableFieldId="18"/>
    <tableColumn id="19" xr3:uid="{D3AAAD71-842A-4181-8211-4ED957ABBFFA}" uniqueName="19" name="1999" queryTableFieldId="19"/>
    <tableColumn id="20" xr3:uid="{FE4F1B07-531A-46F2-AC9A-D6CE724718A7}" uniqueName="20" name="2000" queryTableFieldId="20"/>
    <tableColumn id="21" xr3:uid="{E6FAAAF5-4612-496E-AFE1-4260231DC8E8}" uniqueName="21" name="2001" queryTableFieldId="21"/>
    <tableColumn id="22" xr3:uid="{702CD0AE-A24E-4D04-9A08-1C26DB69B82F}" uniqueName="22" name="2002" queryTableFieldId="22"/>
    <tableColumn id="23" xr3:uid="{8496EE76-BE38-4F37-9346-6EA08A53B373}" uniqueName="23" name="2003" queryTableFieldId="23"/>
    <tableColumn id="24" xr3:uid="{47C32DF6-4B8C-48BC-8148-08A3C1CF7808}" uniqueName="24" name="2004" queryTableFieldId="24"/>
    <tableColumn id="25" xr3:uid="{BCCAFE86-105D-45EE-8452-AE0D0CBC21D5}" uniqueName="25" name="2005" queryTableFieldId="25"/>
    <tableColumn id="26" xr3:uid="{F0450B98-4F6F-4960-BBA7-B6C25D02E2C6}" uniqueName="26" name="2006" queryTableFieldId="26"/>
    <tableColumn id="27" xr3:uid="{7CB6E302-6148-499B-93E5-36E8F10E10F1}" uniqueName="27" name="2007" queryTableFieldId="27"/>
    <tableColumn id="28" xr3:uid="{5754F05E-222A-4896-9A98-5B6B7BBF2602}" uniqueName="28" name="2008" queryTableFieldId="28"/>
    <tableColumn id="29" xr3:uid="{C0518051-10CB-48C9-8CD4-C5D2B5289F32}" uniqueName="29" name="2009" queryTableFieldId="29"/>
    <tableColumn id="30" xr3:uid="{0CE0CD9E-499B-4514-91F2-93745E5D1867}" uniqueName="30" name="2010" queryTableFieldId="30"/>
    <tableColumn id="31" xr3:uid="{B5414CC6-2969-4653-8146-2E7B0411D8E3}" uniqueName="31" name="2011" queryTableFieldId="31"/>
    <tableColumn id="32" xr3:uid="{9C1C2EBA-280D-4324-859A-6CB22A2DAE7F}" uniqueName="32" name="2012" queryTableFieldId="32"/>
    <tableColumn id="33" xr3:uid="{7C65F6F9-A662-49D3-8A1A-E2688B930CFB}" uniqueName="33" name="2013" queryTableFieldId="33"/>
    <tableColumn id="34" xr3:uid="{394431EF-9FAD-4F5D-B8A9-7A8055405169}" uniqueName="34" name="2014" queryTableFieldId="34"/>
    <tableColumn id="35" xr3:uid="{D4F787C8-AF56-4AE5-9B0C-EA70C917AB6B}" uniqueName="35" name="2015" queryTableFieldId="35"/>
    <tableColumn id="36" xr3:uid="{4363DD73-C5B1-41B4-9327-57DD24ADECC8}" uniqueName="36" name="2016" queryTableFieldId="36"/>
    <tableColumn id="37" xr3:uid="{722536F5-D16A-4B8A-B4B9-A9B972837B70}" uniqueName="37" name="2017" queryTableFieldId="37"/>
    <tableColumn id="38" xr3:uid="{790A8262-F349-4D21-87B5-511D65ED4EEC}" uniqueName="38" name="2018" queryTableFieldId="38"/>
    <tableColumn id="39" xr3:uid="{2D396308-B5FD-420B-B49C-B608C0C5176A}" uniqueName="39" name="2019" queryTableFieldId="39"/>
    <tableColumn id="40" xr3:uid="{9B2265B1-DBF2-44F6-851D-11FC3EC1B7F9}" uniqueName="40" name="2020" queryTableFieldId="40"/>
    <tableColumn id="41" xr3:uid="{5BD21A91-7BE6-45B6-BE3C-B21F24F62E75}" uniqueName="41" name="2021" queryTableFieldId="41"/>
    <tableColumn id="42" xr3:uid="{912A88AB-BF56-4EC9-9B2E-D5F21E05C2E4}" uniqueName="42" name="2022" queryTableFieldId="42"/>
    <tableColumn id="43" xr3:uid="{D77421C1-601B-4E69-A31D-34C98D66E42B}" uniqueName="43" name="2023" queryTableFieldId="43"/>
    <tableColumn id="44" xr3:uid="{16A0D61D-F313-47C0-9743-8931BE9865D7}" uniqueName="44" name="2024" totalsRowFunction="sum" queryTableFieldId="44"/>
    <tableColumn id="45" xr3:uid="{F51A2A37-790D-4F62-BF7F-5ED6DCFE5F88}" uniqueName="45" name="Total" queryTableFieldId="45">
      <calculatedColumnFormula>SUM(language_analysis_by_year[[#This Row],[1971]:[2024]])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6CB700-E2C8-4001-BDC1-F77DA2939054}" name="Gutenberg_Language_keys" displayName="Gutenberg_Language_keys" ref="A1:B72" tableType="queryTable" totalsRowShown="0">
  <autoFilter ref="A1:B72" xr:uid="{D16CB700-E2C8-4001-BDC1-F77DA2939054}"/>
  <tableColumns count="2">
    <tableColumn id="1" xr3:uid="{272A8F8E-3A40-4188-A9A2-CD1E3A86128C}" uniqueName="1" name="Column1" queryTableFieldId="1" dataDxfId="2"/>
    <tableColumn id="2" xr3:uid="{D758A71C-7076-4864-A653-2E8C35F8C725}" uniqueName="2" name="Column2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72A1-0126-472B-AE79-47AD2A2998AE}">
  <dimension ref="A1:B72"/>
  <sheetViews>
    <sheetView topLeftCell="A22" workbookViewId="0">
      <selection sqref="A1:B71"/>
    </sheetView>
  </sheetViews>
  <sheetFormatPr defaultRowHeight="15" x14ac:dyDescent="0.25"/>
  <cols>
    <col min="1" max="1" width="21.42578125" bestFit="1" customWidth="1"/>
    <col min="2" max="2" width="12.140625" bestFit="1" customWidth="1"/>
  </cols>
  <sheetData>
    <row r="1" spans="1:2" x14ac:dyDescent="0.25">
      <c r="A1" s="2" t="s">
        <v>189</v>
      </c>
      <c r="B1" t="s">
        <v>190</v>
      </c>
    </row>
    <row r="2" spans="1:2" x14ac:dyDescent="0.25">
      <c r="A2" s="3" t="s">
        <v>89</v>
      </c>
      <c r="B2" s="1">
        <v>15</v>
      </c>
    </row>
    <row r="3" spans="1:2" x14ac:dyDescent="0.25">
      <c r="A3" s="3" t="s">
        <v>53</v>
      </c>
      <c r="B3" s="1">
        <v>1</v>
      </c>
    </row>
    <row r="4" spans="1:2" x14ac:dyDescent="0.25">
      <c r="A4" s="3" t="s">
        <v>129</v>
      </c>
      <c r="B4" s="1">
        <v>1</v>
      </c>
    </row>
    <row r="5" spans="1:2" x14ac:dyDescent="0.25">
      <c r="A5" s="3" t="s">
        <v>109</v>
      </c>
      <c r="B5" s="1">
        <v>2</v>
      </c>
    </row>
    <row r="6" spans="1:2" x14ac:dyDescent="0.25">
      <c r="A6" s="3" t="s">
        <v>137</v>
      </c>
      <c r="B6" s="1">
        <v>2</v>
      </c>
    </row>
    <row r="7" spans="1:2" x14ac:dyDescent="0.25">
      <c r="A7" s="3" t="s">
        <v>107</v>
      </c>
      <c r="B7" s="1">
        <v>1</v>
      </c>
    </row>
    <row r="8" spans="1:2" x14ac:dyDescent="0.25">
      <c r="A8" s="3" t="s">
        <v>25</v>
      </c>
      <c r="B8" s="1">
        <v>6</v>
      </c>
    </row>
    <row r="9" spans="1:2" x14ac:dyDescent="0.25">
      <c r="A9" s="3" t="s">
        <v>119</v>
      </c>
      <c r="B9" s="1">
        <v>1</v>
      </c>
    </row>
    <row r="10" spans="1:2" x14ac:dyDescent="0.25">
      <c r="A10" s="3" t="s">
        <v>65</v>
      </c>
      <c r="B10" s="1">
        <v>56</v>
      </c>
    </row>
    <row r="11" spans="1:2" x14ac:dyDescent="0.25">
      <c r="A11" s="3" t="s">
        <v>99</v>
      </c>
      <c r="B11" s="1">
        <v>3</v>
      </c>
    </row>
    <row r="12" spans="1:2" x14ac:dyDescent="0.25">
      <c r="A12" s="3" t="s">
        <v>17</v>
      </c>
      <c r="B12" s="1">
        <v>444</v>
      </c>
    </row>
    <row r="13" spans="1:2" x14ac:dyDescent="0.25">
      <c r="A13" s="3" t="s">
        <v>73</v>
      </c>
      <c r="B13" s="1">
        <v>12</v>
      </c>
    </row>
    <row r="14" spans="1:2" x14ac:dyDescent="0.25">
      <c r="A14" s="3" t="s">
        <v>21</v>
      </c>
      <c r="B14" s="1">
        <v>79</v>
      </c>
    </row>
    <row r="15" spans="1:2" x14ac:dyDescent="0.25">
      <c r="A15" s="3" t="s">
        <v>29</v>
      </c>
      <c r="B15" s="1">
        <v>1029</v>
      </c>
    </row>
    <row r="16" spans="1:2" x14ac:dyDescent="0.25">
      <c r="A16" s="3" t="s">
        <v>4</v>
      </c>
      <c r="B16" s="1">
        <v>59983</v>
      </c>
    </row>
    <row r="17" spans="1:2" x14ac:dyDescent="0.25">
      <c r="A17" s="3" t="s">
        <v>45</v>
      </c>
      <c r="B17" s="1">
        <v>141</v>
      </c>
    </row>
    <row r="18" spans="1:2" x14ac:dyDescent="0.25">
      <c r="A18" s="3" t="s">
        <v>131</v>
      </c>
      <c r="B18" s="1">
        <v>1</v>
      </c>
    </row>
    <row r="19" spans="1:2" x14ac:dyDescent="0.25">
      <c r="A19" s="3" t="s">
        <v>133</v>
      </c>
      <c r="B19" s="1">
        <v>1</v>
      </c>
    </row>
    <row r="20" spans="1:2" x14ac:dyDescent="0.25">
      <c r="A20" s="3" t="s">
        <v>43</v>
      </c>
      <c r="B20" s="1">
        <v>3154</v>
      </c>
    </row>
    <row r="21" spans="1:2" x14ac:dyDescent="0.25">
      <c r="A21" s="3" t="s">
        <v>11</v>
      </c>
      <c r="B21" s="1">
        <v>3906</v>
      </c>
    </row>
    <row r="22" spans="1:2" x14ac:dyDescent="0.25">
      <c r="A22" s="3" t="s">
        <v>97</v>
      </c>
      <c r="B22" s="1">
        <v>16</v>
      </c>
    </row>
    <row r="23" spans="1:2" x14ac:dyDescent="0.25">
      <c r="A23" s="3" t="s">
        <v>87</v>
      </c>
      <c r="B23" s="1">
        <v>7</v>
      </c>
    </row>
    <row r="24" spans="1:2" x14ac:dyDescent="0.25">
      <c r="A24" s="3" t="s">
        <v>117</v>
      </c>
      <c r="B24" s="1">
        <v>2</v>
      </c>
    </row>
    <row r="25" spans="1:2" x14ac:dyDescent="0.25">
      <c r="A25" s="3" t="s">
        <v>101</v>
      </c>
      <c r="B25" s="1">
        <v>3</v>
      </c>
    </row>
    <row r="26" spans="1:2" x14ac:dyDescent="0.25">
      <c r="A26" s="3" t="s">
        <v>91</v>
      </c>
      <c r="B26" s="1">
        <v>1</v>
      </c>
    </row>
    <row r="27" spans="1:2" x14ac:dyDescent="0.25">
      <c r="A27" s="3" t="s">
        <v>9</v>
      </c>
      <c r="B27" s="1">
        <v>2243</v>
      </c>
    </row>
    <row r="28" spans="1:2" x14ac:dyDescent="0.25">
      <c r="A28" s="3" t="s">
        <v>31</v>
      </c>
      <c r="B28" s="1">
        <v>221</v>
      </c>
    </row>
    <row r="29" spans="1:2" x14ac:dyDescent="0.25">
      <c r="A29" s="3" t="s">
        <v>127</v>
      </c>
      <c r="B29" s="1">
        <v>3</v>
      </c>
    </row>
    <row r="30" spans="1:2" x14ac:dyDescent="0.25">
      <c r="A30" s="3" t="s">
        <v>141</v>
      </c>
      <c r="B30" s="1">
        <v>1</v>
      </c>
    </row>
    <row r="31" spans="1:2" x14ac:dyDescent="0.25">
      <c r="A31" s="3" t="s">
        <v>33</v>
      </c>
      <c r="B31" s="1">
        <v>7</v>
      </c>
    </row>
    <row r="32" spans="1:2" x14ac:dyDescent="0.25">
      <c r="A32" s="3" t="s">
        <v>37</v>
      </c>
      <c r="B32" s="1">
        <v>558</v>
      </c>
    </row>
    <row r="33" spans="1:2" x14ac:dyDescent="0.25">
      <c r="A33" s="3" t="s">
        <v>77</v>
      </c>
      <c r="B33" s="1">
        <v>7</v>
      </c>
    </row>
    <row r="34" spans="1:2" x14ac:dyDescent="0.25">
      <c r="A34" s="3" t="s">
        <v>81</v>
      </c>
      <c r="B34" s="1">
        <v>3</v>
      </c>
    </row>
    <row r="35" spans="1:2" x14ac:dyDescent="0.25">
      <c r="A35" s="3" t="s">
        <v>83</v>
      </c>
      <c r="B35" s="1">
        <v>1</v>
      </c>
    </row>
    <row r="36" spans="1:2" x14ac:dyDescent="0.25">
      <c r="A36" s="3" t="s">
        <v>111</v>
      </c>
      <c r="B36" s="1">
        <v>1</v>
      </c>
    </row>
    <row r="37" spans="1:2" x14ac:dyDescent="0.25">
      <c r="A37" s="3" t="s">
        <v>85</v>
      </c>
      <c r="B37" s="1">
        <v>3</v>
      </c>
    </row>
    <row r="38" spans="1:2" x14ac:dyDescent="0.25">
      <c r="A38" s="3" t="s">
        <v>13</v>
      </c>
      <c r="B38" s="1">
        <v>1027</v>
      </c>
    </row>
    <row r="39" spans="1:2" x14ac:dyDescent="0.25">
      <c r="A39" s="3" t="s">
        <v>15</v>
      </c>
      <c r="B39" s="1">
        <v>22</v>
      </c>
    </row>
    <row r="40" spans="1:2" x14ac:dyDescent="0.25">
      <c r="A40" s="3" t="s">
        <v>115</v>
      </c>
      <c r="B40" s="1">
        <v>1</v>
      </c>
    </row>
    <row r="41" spans="1:2" x14ac:dyDescent="0.25">
      <c r="A41" s="3" t="s">
        <v>71</v>
      </c>
      <c r="B41" s="1">
        <v>1</v>
      </c>
    </row>
    <row r="42" spans="1:2" x14ac:dyDescent="0.25">
      <c r="A42" s="3" t="s">
        <v>39</v>
      </c>
      <c r="B42" s="1">
        <v>1</v>
      </c>
    </row>
    <row r="43" spans="1:2" x14ac:dyDescent="0.25">
      <c r="A43" s="3" t="s">
        <v>143</v>
      </c>
      <c r="B43" s="1">
        <v>145</v>
      </c>
    </row>
    <row r="44" spans="1:2" x14ac:dyDescent="0.25">
      <c r="A44" s="3" t="s">
        <v>57</v>
      </c>
      <c r="B44" s="1">
        <v>1</v>
      </c>
    </row>
    <row r="45" spans="1:2" x14ac:dyDescent="0.25">
      <c r="A45" s="3" t="s">
        <v>103</v>
      </c>
      <c r="B45" s="1">
        <v>2</v>
      </c>
    </row>
    <row r="46" spans="1:2" x14ac:dyDescent="0.25">
      <c r="A46" s="3" t="s">
        <v>79</v>
      </c>
      <c r="B46" s="1">
        <v>3</v>
      </c>
    </row>
    <row r="47" spans="1:2" x14ac:dyDescent="0.25">
      <c r="A47" s="3" t="s">
        <v>47</v>
      </c>
      <c r="B47" s="1">
        <v>6</v>
      </c>
    </row>
    <row r="48" spans="1:2" x14ac:dyDescent="0.25">
      <c r="A48" s="3" t="s">
        <v>69</v>
      </c>
      <c r="B48" s="1">
        <v>3</v>
      </c>
    </row>
    <row r="49" spans="1:2" x14ac:dyDescent="0.25">
      <c r="A49" s="3" t="s">
        <v>95</v>
      </c>
      <c r="B49" s="1">
        <v>1</v>
      </c>
    </row>
    <row r="50" spans="1:2" x14ac:dyDescent="0.25">
      <c r="A50" s="3" t="s">
        <v>105</v>
      </c>
      <c r="B50" s="1">
        <v>3</v>
      </c>
    </row>
    <row r="51" spans="1:2" x14ac:dyDescent="0.25">
      <c r="A51" s="3" t="s">
        <v>59</v>
      </c>
      <c r="B51" s="1">
        <v>3</v>
      </c>
    </row>
    <row r="52" spans="1:2" x14ac:dyDescent="0.25">
      <c r="A52" s="3" t="s">
        <v>63</v>
      </c>
      <c r="B52" s="1">
        <v>21</v>
      </c>
    </row>
    <row r="53" spans="1:2" x14ac:dyDescent="0.25">
      <c r="A53" s="3" t="s">
        <v>93</v>
      </c>
      <c r="B53" s="1">
        <v>2</v>
      </c>
    </row>
    <row r="54" spans="1:2" x14ac:dyDescent="0.25">
      <c r="A54" s="3" t="s">
        <v>125</v>
      </c>
      <c r="B54" s="1">
        <v>1</v>
      </c>
    </row>
    <row r="55" spans="1:2" x14ac:dyDescent="0.25">
      <c r="A55" s="3" t="s">
        <v>51</v>
      </c>
      <c r="B55" s="1">
        <v>4</v>
      </c>
    </row>
    <row r="56" spans="1:2" x14ac:dyDescent="0.25">
      <c r="A56" s="3" t="s">
        <v>41</v>
      </c>
      <c r="B56" s="1">
        <v>31</v>
      </c>
    </row>
    <row r="57" spans="1:2" x14ac:dyDescent="0.25">
      <c r="A57" s="3" t="s">
        <v>27</v>
      </c>
      <c r="B57" s="1">
        <v>644</v>
      </c>
    </row>
    <row r="58" spans="1:2" x14ac:dyDescent="0.25">
      <c r="A58" s="3" t="s">
        <v>67</v>
      </c>
      <c r="B58" s="1">
        <v>5</v>
      </c>
    </row>
    <row r="59" spans="1:2" x14ac:dyDescent="0.25">
      <c r="A59" s="3" t="s">
        <v>35</v>
      </c>
      <c r="B59" s="1">
        <v>9</v>
      </c>
    </row>
    <row r="60" spans="1:2" x14ac:dyDescent="0.25">
      <c r="A60" s="3" t="s">
        <v>49</v>
      </c>
      <c r="B60" s="1">
        <v>1</v>
      </c>
    </row>
    <row r="61" spans="1:2" x14ac:dyDescent="0.25">
      <c r="A61" s="3" t="s">
        <v>135</v>
      </c>
      <c r="B61" s="1">
        <v>1</v>
      </c>
    </row>
    <row r="62" spans="1:2" x14ac:dyDescent="0.25">
      <c r="A62" s="3" t="s">
        <v>61</v>
      </c>
      <c r="B62" s="1">
        <v>4</v>
      </c>
    </row>
    <row r="63" spans="1:2" x14ac:dyDescent="0.25">
      <c r="A63" s="3" t="s">
        <v>121</v>
      </c>
      <c r="B63" s="1">
        <v>3</v>
      </c>
    </row>
    <row r="64" spans="1:2" x14ac:dyDescent="0.25">
      <c r="A64" s="3" t="s">
        <v>7</v>
      </c>
      <c r="B64" s="1">
        <v>870</v>
      </c>
    </row>
    <row r="65" spans="1:2" x14ac:dyDescent="0.25">
      <c r="A65" s="3" t="s">
        <v>19</v>
      </c>
      <c r="B65" s="1">
        <v>236</v>
      </c>
    </row>
    <row r="66" spans="1:2" x14ac:dyDescent="0.25">
      <c r="A66" s="3" t="s">
        <v>113</v>
      </c>
      <c r="B66" s="1">
        <v>1</v>
      </c>
    </row>
    <row r="67" spans="1:2" x14ac:dyDescent="0.25">
      <c r="A67" s="3" t="s">
        <v>75</v>
      </c>
      <c r="B67" s="1">
        <v>60</v>
      </c>
    </row>
    <row r="68" spans="1:2" x14ac:dyDescent="0.25">
      <c r="A68" s="3" t="s">
        <v>123</v>
      </c>
      <c r="B68" s="1">
        <v>6</v>
      </c>
    </row>
    <row r="69" spans="1:2" x14ac:dyDescent="0.25">
      <c r="A69" s="3" t="s">
        <v>139</v>
      </c>
      <c r="B69" s="1">
        <v>1</v>
      </c>
    </row>
    <row r="70" spans="1:2" x14ac:dyDescent="0.25">
      <c r="A70" s="3" t="s">
        <v>23</v>
      </c>
      <c r="B70" s="1">
        <v>15</v>
      </c>
    </row>
    <row r="71" spans="1:2" x14ac:dyDescent="0.25">
      <c r="A71" s="3" t="s">
        <v>55</v>
      </c>
      <c r="B71" s="1">
        <v>1</v>
      </c>
    </row>
    <row r="72" spans="1:2" x14ac:dyDescent="0.25">
      <c r="A72" s="3" t="s">
        <v>188</v>
      </c>
      <c r="B72" s="1">
        <v>75050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337C-F381-4628-A3B8-5E401CE12F2A}">
  <dimension ref="A1:AS82"/>
  <sheetViews>
    <sheetView tabSelected="1" topLeftCell="A7" zoomScale="70" zoomScaleNormal="70" workbookViewId="0">
      <selection activeCell="G82" sqref="A80:G82"/>
    </sheetView>
  </sheetViews>
  <sheetFormatPr defaultRowHeight="15" x14ac:dyDescent="0.25"/>
  <cols>
    <col min="1" max="9" width="11.42578125" bestFit="1" customWidth="1"/>
    <col min="10" max="44" width="12.42578125" bestFit="1" customWidth="1"/>
  </cols>
  <sheetData>
    <row r="1" spans="1:45" x14ac:dyDescent="0.25">
      <c r="A1" s="1" t="s">
        <v>2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  <c r="AI1" t="s">
        <v>177</v>
      </c>
      <c r="AJ1" t="s">
        <v>178</v>
      </c>
      <c r="AK1" t="s">
        <v>179</v>
      </c>
      <c r="AL1" t="s">
        <v>180</v>
      </c>
      <c r="AM1" t="s">
        <v>181</v>
      </c>
      <c r="AN1" t="s">
        <v>182</v>
      </c>
      <c r="AO1" t="s">
        <v>183</v>
      </c>
      <c r="AP1" t="s">
        <v>184</v>
      </c>
      <c r="AQ1" t="s">
        <v>185</v>
      </c>
      <c r="AR1" t="s">
        <v>186</v>
      </c>
      <c r="AS1" t="s">
        <v>187</v>
      </c>
    </row>
    <row r="2" spans="1:45" x14ac:dyDescent="0.25">
      <c r="A2" t="str">
        <f ca="1">_xlfn.XLOOKUP(language_analysis_by_year[[#This Row],[Language]],Gutenberg_Language_keys[Column2],Gutenberg_Language_keys[Column1])</f>
        <v>English</v>
      </c>
      <c r="B2">
        <v>1</v>
      </c>
      <c r="C2">
        <v>1</v>
      </c>
      <c r="D2">
        <v>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5</v>
      </c>
      <c r="L2">
        <v>13</v>
      </c>
      <c r="M2">
        <v>36</v>
      </c>
      <c r="N2">
        <v>58</v>
      </c>
      <c r="O2">
        <v>102</v>
      </c>
      <c r="P2">
        <v>334</v>
      </c>
      <c r="Q2">
        <v>315</v>
      </c>
      <c r="R2">
        <v>348</v>
      </c>
      <c r="S2">
        <v>339</v>
      </c>
      <c r="T2">
        <v>311</v>
      </c>
      <c r="U2">
        <v>313</v>
      </c>
      <c r="V2">
        <v>376</v>
      </c>
      <c r="W2">
        <v>1373</v>
      </c>
      <c r="X2">
        <v>6363</v>
      </c>
      <c r="Y2">
        <v>4273</v>
      </c>
      <c r="Z2">
        <v>2887</v>
      </c>
      <c r="AA2">
        <v>3203</v>
      </c>
      <c r="AB2">
        <v>2798</v>
      </c>
      <c r="AC2">
        <v>2507</v>
      </c>
      <c r="AD2">
        <v>3282</v>
      </c>
      <c r="AE2">
        <v>3007</v>
      </c>
      <c r="AF2">
        <v>2697</v>
      </c>
      <c r="AG2">
        <v>2230</v>
      </c>
      <c r="AH2">
        <v>2474</v>
      </c>
      <c r="AI2">
        <v>2194</v>
      </c>
      <c r="AJ2">
        <v>2237</v>
      </c>
      <c r="AK2">
        <v>1865</v>
      </c>
      <c r="AL2">
        <v>1770</v>
      </c>
      <c r="AM2">
        <v>2013</v>
      </c>
      <c r="AN2">
        <v>2280</v>
      </c>
      <c r="AO2">
        <v>2207</v>
      </c>
      <c r="AP2">
        <v>1983</v>
      </c>
      <c r="AQ2">
        <v>2207</v>
      </c>
      <c r="AR2">
        <v>1573</v>
      </c>
      <c r="AS2">
        <f>SUM(language_analysis_by_year[[#This Row],[1971]:[2024]])</f>
        <v>59983</v>
      </c>
    </row>
    <row r="3" spans="1:45" x14ac:dyDescent="0.25">
      <c r="A3" t="str">
        <f ca="1">_xlfn.XLOOKUP(language_analysis_by_year[[#This Row],[Language]],Gutenberg_Language_keys[Column2],Gutenberg_Language_keys[Column1])</f>
        <v>French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8</v>
      </c>
      <c r="R3">
        <v>2</v>
      </c>
      <c r="S3">
        <v>2</v>
      </c>
      <c r="T3">
        <v>1</v>
      </c>
      <c r="U3">
        <v>6</v>
      </c>
      <c r="V3">
        <v>1</v>
      </c>
      <c r="W3">
        <v>39</v>
      </c>
      <c r="X3">
        <v>328</v>
      </c>
      <c r="Y3">
        <v>263</v>
      </c>
      <c r="Z3">
        <v>319</v>
      </c>
      <c r="AA3">
        <v>163</v>
      </c>
      <c r="AB3">
        <v>213</v>
      </c>
      <c r="AC3">
        <v>187</v>
      </c>
      <c r="AD3">
        <v>185</v>
      </c>
      <c r="AE3">
        <v>239</v>
      </c>
      <c r="AF3">
        <v>188</v>
      </c>
      <c r="AG3">
        <v>191</v>
      </c>
      <c r="AH3">
        <v>185</v>
      </c>
      <c r="AI3">
        <v>112</v>
      </c>
      <c r="AJ3">
        <v>129</v>
      </c>
      <c r="AK3">
        <v>79</v>
      </c>
      <c r="AL3">
        <v>110</v>
      </c>
      <c r="AM3">
        <v>84</v>
      </c>
      <c r="AN3">
        <v>201</v>
      </c>
      <c r="AO3">
        <v>160</v>
      </c>
      <c r="AP3">
        <v>133</v>
      </c>
      <c r="AQ3">
        <v>168</v>
      </c>
      <c r="AR3">
        <v>210</v>
      </c>
      <c r="AS3">
        <f>SUM(language_analysis_by_year[[#This Row],[1971]:[2024]])</f>
        <v>3906</v>
      </c>
    </row>
    <row r="4" spans="1:45" x14ac:dyDescent="0.25">
      <c r="A4" t="str">
        <f ca="1">_xlfn.XLOOKUP(language_analysis_by_year[[#This Row],[Language]],Gutenberg_Language_keys[Column2],Gutenberg_Language_keys[Column1])</f>
        <v>Finnish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4</v>
      </c>
      <c r="X4">
        <v>114</v>
      </c>
      <c r="Y4">
        <v>142</v>
      </c>
      <c r="Z4">
        <v>91</v>
      </c>
      <c r="AA4">
        <v>65</v>
      </c>
      <c r="AB4">
        <v>64</v>
      </c>
      <c r="AC4">
        <v>37</v>
      </c>
      <c r="AD4">
        <v>41</v>
      </c>
      <c r="AE4">
        <v>82</v>
      </c>
      <c r="AF4">
        <v>61</v>
      </c>
      <c r="AG4">
        <v>73</v>
      </c>
      <c r="AH4">
        <v>206</v>
      </c>
      <c r="AI4">
        <v>267</v>
      </c>
      <c r="AJ4">
        <v>326</v>
      </c>
      <c r="AK4">
        <v>230</v>
      </c>
      <c r="AL4">
        <v>154</v>
      </c>
      <c r="AM4">
        <v>150</v>
      </c>
      <c r="AN4">
        <v>210</v>
      </c>
      <c r="AO4">
        <v>129</v>
      </c>
      <c r="AP4">
        <v>86</v>
      </c>
      <c r="AQ4">
        <v>229</v>
      </c>
      <c r="AR4">
        <v>393</v>
      </c>
      <c r="AS4">
        <f>SUM(language_analysis_by_year[[#This Row],[1971]:[2024]])</f>
        <v>3154</v>
      </c>
    </row>
    <row r="5" spans="1:45" x14ac:dyDescent="0.25">
      <c r="A5" t="str">
        <f ca="1">_xlfn.XLOOKUP(language_analysis_by_year[[#This Row],[Language]],Gutenberg_Language_keys[Column2],Gutenberg_Language_keys[Column1])</f>
        <v>German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>
        <v>0</v>
      </c>
      <c r="T5">
        <v>37</v>
      </c>
      <c r="U5">
        <v>5</v>
      </c>
      <c r="V5">
        <v>28</v>
      </c>
      <c r="W5">
        <v>26</v>
      </c>
      <c r="X5">
        <v>116</v>
      </c>
      <c r="Y5">
        <v>139</v>
      </c>
      <c r="Z5">
        <v>61</v>
      </c>
      <c r="AA5">
        <v>85</v>
      </c>
      <c r="AB5">
        <v>59</v>
      </c>
      <c r="AC5">
        <v>67</v>
      </c>
      <c r="AD5">
        <v>104</v>
      </c>
      <c r="AE5">
        <v>91</v>
      </c>
      <c r="AF5">
        <v>111</v>
      </c>
      <c r="AG5">
        <v>79</v>
      </c>
      <c r="AH5">
        <v>181</v>
      </c>
      <c r="AI5">
        <v>172</v>
      </c>
      <c r="AJ5">
        <v>159</v>
      </c>
      <c r="AK5">
        <v>117</v>
      </c>
      <c r="AL5">
        <v>74</v>
      </c>
      <c r="AM5">
        <v>110</v>
      </c>
      <c r="AN5">
        <v>115</v>
      </c>
      <c r="AO5">
        <v>83</v>
      </c>
      <c r="AP5">
        <v>97</v>
      </c>
      <c r="AQ5">
        <v>67</v>
      </c>
      <c r="AR5">
        <v>58</v>
      </c>
      <c r="AS5">
        <f>SUM(language_analysis_by_year[[#This Row],[1971]:[2024]])</f>
        <v>2243</v>
      </c>
    </row>
    <row r="6" spans="1:45" x14ac:dyDescent="0.25">
      <c r="A6" t="str">
        <f ca="1">_xlfn.XLOOKUP(language_analysis_by_year[[#This Row],[Language]],Gutenberg_Language_keys[Column2],Gutenberg_Language_keys[Column1])</f>
        <v>Dutch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0</v>
      </c>
      <c r="W6">
        <v>6</v>
      </c>
      <c r="X6">
        <v>80</v>
      </c>
      <c r="Y6">
        <v>71</v>
      </c>
      <c r="Z6">
        <v>87</v>
      </c>
      <c r="AA6">
        <v>62</v>
      </c>
      <c r="AB6">
        <v>70</v>
      </c>
      <c r="AC6">
        <v>76</v>
      </c>
      <c r="AD6">
        <v>54</v>
      </c>
      <c r="AE6">
        <v>55</v>
      </c>
      <c r="AF6">
        <v>40</v>
      </c>
      <c r="AG6">
        <v>40</v>
      </c>
      <c r="AH6">
        <v>36</v>
      </c>
      <c r="AI6">
        <v>40</v>
      </c>
      <c r="AJ6">
        <v>25</v>
      </c>
      <c r="AK6">
        <v>27</v>
      </c>
      <c r="AL6">
        <v>25</v>
      </c>
      <c r="AM6">
        <v>8</v>
      </c>
      <c r="AN6">
        <v>32</v>
      </c>
      <c r="AO6">
        <v>55</v>
      </c>
      <c r="AP6">
        <v>65</v>
      </c>
      <c r="AQ6">
        <v>42</v>
      </c>
      <c r="AR6">
        <v>30</v>
      </c>
      <c r="AS6">
        <f>SUM(language_analysis_by_year[[#This Row],[1971]:[2024]])</f>
        <v>1029</v>
      </c>
    </row>
    <row r="7" spans="1:45" x14ac:dyDescent="0.25">
      <c r="A7" t="str">
        <f ca="1">_xlfn.XLOOKUP(language_analysis_by_year[[#This Row],[Language]],Gutenberg_Language_keys[Column2],Gutenberg_Language_keys[Column1])</f>
        <v>Italian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8</v>
      </c>
      <c r="R7">
        <v>0</v>
      </c>
      <c r="S7">
        <v>0</v>
      </c>
      <c r="T7">
        <v>0</v>
      </c>
      <c r="U7">
        <v>0</v>
      </c>
      <c r="V7">
        <v>0</v>
      </c>
      <c r="W7">
        <v>8</v>
      </c>
      <c r="X7">
        <v>15</v>
      </c>
      <c r="Y7">
        <v>12</v>
      </c>
      <c r="Z7">
        <v>61</v>
      </c>
      <c r="AA7">
        <v>24</v>
      </c>
      <c r="AB7">
        <v>44</v>
      </c>
      <c r="AC7">
        <v>52</v>
      </c>
      <c r="AD7">
        <v>40</v>
      </c>
      <c r="AE7">
        <v>55</v>
      </c>
      <c r="AF7">
        <v>39</v>
      </c>
      <c r="AG7">
        <v>100</v>
      </c>
      <c r="AH7">
        <v>116</v>
      </c>
      <c r="AI7">
        <v>87</v>
      </c>
      <c r="AJ7">
        <v>35</v>
      </c>
      <c r="AK7">
        <v>10</v>
      </c>
      <c r="AL7">
        <v>41</v>
      </c>
      <c r="AM7">
        <v>58</v>
      </c>
      <c r="AN7">
        <v>60</v>
      </c>
      <c r="AO7">
        <v>37</v>
      </c>
      <c r="AP7">
        <v>24</v>
      </c>
      <c r="AQ7">
        <v>56</v>
      </c>
      <c r="AR7">
        <v>45</v>
      </c>
      <c r="AS7">
        <f>SUM(language_analysis_by_year[[#This Row],[1971]:[2024]])</f>
        <v>1027</v>
      </c>
    </row>
    <row r="8" spans="1:45" x14ac:dyDescent="0.25">
      <c r="A8" t="str">
        <f ca="1">_xlfn.XLOOKUP(language_analysis_by_year[[#This Row],[Language]],Gutenberg_Language_keys[Column2],Gutenberg_Language_keys[Column1])</f>
        <v>Spanish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2</v>
      </c>
      <c r="T8">
        <v>1</v>
      </c>
      <c r="U8">
        <v>0</v>
      </c>
      <c r="V8">
        <v>0</v>
      </c>
      <c r="W8">
        <v>7</v>
      </c>
      <c r="X8">
        <v>55</v>
      </c>
      <c r="Y8">
        <v>49</v>
      </c>
      <c r="Z8">
        <v>27</v>
      </c>
      <c r="AA8">
        <v>24</v>
      </c>
      <c r="AB8">
        <v>52</v>
      </c>
      <c r="AC8">
        <v>52</v>
      </c>
      <c r="AD8">
        <v>29</v>
      </c>
      <c r="AE8">
        <v>21</v>
      </c>
      <c r="AF8">
        <v>29</v>
      </c>
      <c r="AG8">
        <v>33</v>
      </c>
      <c r="AH8">
        <v>43</v>
      </c>
      <c r="AI8">
        <v>52</v>
      </c>
      <c r="AJ8">
        <v>57</v>
      </c>
      <c r="AK8">
        <v>45</v>
      </c>
      <c r="AL8">
        <v>41</v>
      </c>
      <c r="AM8">
        <v>33</v>
      </c>
      <c r="AN8">
        <v>67</v>
      </c>
      <c r="AO8">
        <v>47</v>
      </c>
      <c r="AP8">
        <v>48</v>
      </c>
      <c r="AQ8">
        <v>27</v>
      </c>
      <c r="AR8">
        <v>28</v>
      </c>
      <c r="AS8">
        <f>SUM(language_analysis_by_year[[#This Row],[1971]:[2024]])</f>
        <v>870</v>
      </c>
    </row>
    <row r="9" spans="1:45" x14ac:dyDescent="0.25">
      <c r="A9" t="str">
        <f ca="1">_xlfn.XLOOKUP(language_analysis_by_year[[#This Row],[Language]],Gutenberg_Language_keys[Column2],Gutenberg_Language_keys[Column1])</f>
        <v>Portugese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6</v>
      </c>
      <c r="Y9">
        <v>28</v>
      </c>
      <c r="Z9">
        <v>34</v>
      </c>
      <c r="AA9">
        <v>100</v>
      </c>
      <c r="AB9">
        <v>118</v>
      </c>
      <c r="AC9">
        <v>92</v>
      </c>
      <c r="AD9">
        <v>120</v>
      </c>
      <c r="AE9">
        <v>20</v>
      </c>
      <c r="AF9">
        <v>9</v>
      </c>
      <c r="AG9">
        <v>4</v>
      </c>
      <c r="AH9">
        <v>5</v>
      </c>
      <c r="AI9">
        <v>1</v>
      </c>
      <c r="AJ9">
        <v>5</v>
      </c>
      <c r="AK9">
        <v>4</v>
      </c>
      <c r="AL9">
        <v>3</v>
      </c>
      <c r="AM9">
        <v>3</v>
      </c>
      <c r="AN9">
        <v>35</v>
      </c>
      <c r="AO9">
        <v>1</v>
      </c>
      <c r="AP9">
        <v>32</v>
      </c>
      <c r="AQ9">
        <v>17</v>
      </c>
      <c r="AR9">
        <v>5</v>
      </c>
      <c r="AS9">
        <f>SUM(language_analysis_by_year[[#This Row],[1971]:[2024]])</f>
        <v>644</v>
      </c>
    </row>
    <row r="10" spans="1:45" x14ac:dyDescent="0.25">
      <c r="A10" t="str">
        <f ca="1">_xlfn.XLOOKUP(language_analysis_by_year[[#This Row],[Language]],Gutenberg_Language_keys[Column2],Gutenberg_Language_keys[Column1])</f>
        <v>Hungarian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6</v>
      </c>
      <c r="AA10">
        <v>1</v>
      </c>
      <c r="AB10">
        <v>2</v>
      </c>
      <c r="AC10">
        <v>7</v>
      </c>
      <c r="AD10">
        <v>6</v>
      </c>
      <c r="AE10">
        <v>0</v>
      </c>
      <c r="AF10">
        <v>46</v>
      </c>
      <c r="AG10">
        <v>32</v>
      </c>
      <c r="AH10">
        <v>10</v>
      </c>
      <c r="AI10">
        <v>1</v>
      </c>
      <c r="AJ10">
        <v>0</v>
      </c>
      <c r="AK10">
        <v>18</v>
      </c>
      <c r="AL10">
        <v>53</v>
      </c>
      <c r="AM10">
        <v>0</v>
      </c>
      <c r="AN10">
        <v>96</v>
      </c>
      <c r="AO10">
        <v>119</v>
      </c>
      <c r="AP10">
        <v>92</v>
      </c>
      <c r="AQ10">
        <v>23</v>
      </c>
      <c r="AR10">
        <v>45</v>
      </c>
      <c r="AS10">
        <f>SUM(language_analysis_by_year[[#This Row],[1971]:[2024]])</f>
        <v>558</v>
      </c>
    </row>
    <row r="11" spans="1:45" x14ac:dyDescent="0.25">
      <c r="A11" t="str">
        <f ca="1">_xlfn.XLOOKUP(language_analysis_by_year[[#This Row],[Language]],Gutenberg_Language_keys[Column2],Gutenberg_Language_keys[Column1])</f>
        <v>Chinese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10</v>
      </c>
      <c r="X11">
        <v>3</v>
      </c>
      <c r="Y11">
        <v>55</v>
      </c>
      <c r="Z11">
        <v>0</v>
      </c>
      <c r="AA11">
        <v>78</v>
      </c>
      <c r="AB11">
        <v>247</v>
      </c>
      <c r="AC11">
        <v>11</v>
      </c>
      <c r="AD11">
        <v>0</v>
      </c>
      <c r="AE11">
        <v>0</v>
      </c>
      <c r="AF11">
        <v>2</v>
      </c>
      <c r="AG11">
        <v>3</v>
      </c>
      <c r="AH11">
        <v>0</v>
      </c>
      <c r="AI11">
        <v>1</v>
      </c>
      <c r="AJ11">
        <v>16</v>
      </c>
      <c r="AK11">
        <v>9</v>
      </c>
      <c r="AL11">
        <v>5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0</v>
      </c>
      <c r="AS11">
        <f>SUM(language_analysis_by_year[[#This Row],[1971]:[2024]])</f>
        <v>444</v>
      </c>
    </row>
    <row r="12" spans="1:45" x14ac:dyDescent="0.25">
      <c r="A12" t="str">
        <f ca="1">_xlfn.XLOOKUP(language_analysis_by_year[[#This Row],[Language]],Gutenberg_Language_keys[Column2],Gutenberg_Language_keys[Column1])</f>
        <v>Swedish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9</v>
      </c>
      <c r="Y12">
        <v>14</v>
      </c>
      <c r="Z12">
        <v>9</v>
      </c>
      <c r="AA12">
        <v>5</v>
      </c>
      <c r="AB12">
        <v>11</v>
      </c>
      <c r="AC12">
        <v>11</v>
      </c>
      <c r="AD12">
        <v>7</v>
      </c>
      <c r="AE12">
        <v>0</v>
      </c>
      <c r="AF12">
        <v>5</v>
      </c>
      <c r="AG12">
        <v>0</v>
      </c>
      <c r="AH12">
        <v>6</v>
      </c>
      <c r="AI12">
        <v>38</v>
      </c>
      <c r="AJ12">
        <v>31</v>
      </c>
      <c r="AK12">
        <v>23</v>
      </c>
      <c r="AL12">
        <v>19</v>
      </c>
      <c r="AM12">
        <v>12</v>
      </c>
      <c r="AN12">
        <v>9</v>
      </c>
      <c r="AO12">
        <v>11</v>
      </c>
      <c r="AP12">
        <v>1</v>
      </c>
      <c r="AQ12">
        <v>6</v>
      </c>
      <c r="AR12">
        <v>7</v>
      </c>
      <c r="AS12">
        <f>SUM(language_analysis_by_year[[#This Row],[1971]:[2024]])</f>
        <v>236</v>
      </c>
    </row>
    <row r="13" spans="1:45" x14ac:dyDescent="0.25">
      <c r="A13" t="str">
        <f ca="1">_xlfn.XLOOKUP(language_analysis_by_year[[#This Row],[Language]],Gutenberg_Language_keys[Column2],Gutenberg_Language_keys[Column1])</f>
        <v>Greek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5</v>
      </c>
      <c r="AA13">
        <v>0</v>
      </c>
      <c r="AB13">
        <v>9</v>
      </c>
      <c r="AC13">
        <v>28</v>
      </c>
      <c r="AD13">
        <v>69</v>
      </c>
      <c r="AE13">
        <v>56</v>
      </c>
      <c r="AF13">
        <v>38</v>
      </c>
      <c r="AG13">
        <v>13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f>SUM(language_analysis_by_year[[#This Row],[1971]:[2024]])</f>
        <v>221</v>
      </c>
    </row>
    <row r="14" spans="1:45" x14ac:dyDescent="0.25">
      <c r="A14" t="str">
        <f ca="1">_xlfn.XLOOKUP(language_analysis_by_year[[#This Row],[Language]],Gutenberg_Language_keys[Column2],Gutenberg_Language_keys[Column1])</f>
        <v>Latin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</v>
      </c>
      <c r="P14">
        <v>1</v>
      </c>
      <c r="Q14">
        <v>4</v>
      </c>
      <c r="R14">
        <v>0</v>
      </c>
      <c r="S14">
        <v>0</v>
      </c>
      <c r="T14">
        <v>0</v>
      </c>
      <c r="U14">
        <v>0</v>
      </c>
      <c r="V14">
        <v>0</v>
      </c>
      <c r="W14">
        <v>3</v>
      </c>
      <c r="X14">
        <v>1</v>
      </c>
      <c r="Y14">
        <v>17</v>
      </c>
      <c r="Z14">
        <v>9</v>
      </c>
      <c r="AA14">
        <v>11</v>
      </c>
      <c r="AB14">
        <v>10</v>
      </c>
      <c r="AC14">
        <v>5</v>
      </c>
      <c r="AD14">
        <v>9</v>
      </c>
      <c r="AE14">
        <v>5</v>
      </c>
      <c r="AF14">
        <v>7</v>
      </c>
      <c r="AG14">
        <v>4</v>
      </c>
      <c r="AH14">
        <v>5</v>
      </c>
      <c r="AI14">
        <v>5</v>
      </c>
      <c r="AJ14">
        <v>12</v>
      </c>
      <c r="AK14">
        <v>2</v>
      </c>
      <c r="AL14">
        <v>7</v>
      </c>
      <c r="AM14">
        <v>5</v>
      </c>
      <c r="AN14">
        <v>2</v>
      </c>
      <c r="AO14">
        <v>2</v>
      </c>
      <c r="AP14">
        <v>2</v>
      </c>
      <c r="AQ14">
        <v>5</v>
      </c>
      <c r="AR14">
        <v>7</v>
      </c>
      <c r="AS14">
        <f>SUM(language_analysis_by_year[[#This Row],[1971]:[2024]])</f>
        <v>145</v>
      </c>
    </row>
    <row r="15" spans="1:45" x14ac:dyDescent="0.25">
      <c r="A15" t="str">
        <f ca="1">_xlfn.XLOOKUP(language_analysis_by_year[[#This Row],[Language]],Gutenberg_Language_keys[Column2],Gutenberg_Language_keys[Column1])</f>
        <v>Esperanto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4</v>
      </c>
      <c r="Z15">
        <v>16</v>
      </c>
      <c r="AA15">
        <v>16</v>
      </c>
      <c r="AB15">
        <v>17</v>
      </c>
      <c r="AC15">
        <v>7</v>
      </c>
      <c r="AD15">
        <v>9</v>
      </c>
      <c r="AE15">
        <v>10</v>
      </c>
      <c r="AF15">
        <v>3</v>
      </c>
      <c r="AG15">
        <v>5</v>
      </c>
      <c r="AH15">
        <v>7</v>
      </c>
      <c r="AI15">
        <v>8</v>
      </c>
      <c r="AJ15">
        <v>9</v>
      </c>
      <c r="AK15">
        <v>3</v>
      </c>
      <c r="AL15">
        <v>2</v>
      </c>
      <c r="AM15">
        <v>1</v>
      </c>
      <c r="AN15">
        <v>11</v>
      </c>
      <c r="AO15">
        <v>4</v>
      </c>
      <c r="AP15">
        <v>4</v>
      </c>
      <c r="AQ15">
        <v>1</v>
      </c>
      <c r="AR15">
        <v>2</v>
      </c>
      <c r="AS15">
        <f>SUM(language_analysis_by_year[[#This Row],[1971]:[2024]])</f>
        <v>141</v>
      </c>
    </row>
    <row r="16" spans="1:45" x14ac:dyDescent="0.25">
      <c r="A16" t="str">
        <f ca="1">_xlfn.XLOOKUP(language_analysis_by_year[[#This Row],[Language]],Gutenberg_Language_keys[Column2],Gutenberg_Language_keys[Column1])</f>
        <v>Danish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1</v>
      </c>
      <c r="X16">
        <v>13</v>
      </c>
      <c r="Y16">
        <v>1</v>
      </c>
      <c r="Z16">
        <v>1</v>
      </c>
      <c r="AA16">
        <v>0</v>
      </c>
      <c r="AB16">
        <v>3</v>
      </c>
      <c r="AC16">
        <v>2</v>
      </c>
      <c r="AD16">
        <v>12</v>
      </c>
      <c r="AE16">
        <v>8</v>
      </c>
      <c r="AF16">
        <v>10</v>
      </c>
      <c r="AG16">
        <v>9</v>
      </c>
      <c r="AH16">
        <v>3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4</v>
      </c>
      <c r="AO16">
        <v>6</v>
      </c>
      <c r="AP16">
        <v>0</v>
      </c>
      <c r="AQ16">
        <v>0</v>
      </c>
      <c r="AR16">
        <v>0</v>
      </c>
      <c r="AS16">
        <f>SUM(language_analysis_by_year[[#This Row],[1971]:[2024]])</f>
        <v>79</v>
      </c>
    </row>
    <row r="17" spans="1:45" x14ac:dyDescent="0.25">
      <c r="A17" t="str">
        <f ca="1">_xlfn.XLOOKUP(language_analysis_by_year[[#This Row],[Language]],Gutenberg_Language_keys[Column2],Gutenberg_Language_keys[Column1])</f>
        <v>Tagalog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12</v>
      </c>
      <c r="Y17">
        <v>23</v>
      </c>
      <c r="Z17">
        <v>17</v>
      </c>
      <c r="AA17">
        <v>2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2</v>
      </c>
      <c r="AH17">
        <v>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f>SUM(language_analysis_by_year[[#This Row],[1971]:[2024]])</f>
        <v>60</v>
      </c>
    </row>
    <row r="18" spans="1:45" x14ac:dyDescent="0.25">
      <c r="A18" t="str">
        <f ca="1">_xlfn.XLOOKUP(language_analysis_by_year[[#This Row],[Language]],Gutenberg_Language_keys[Column2],Gutenberg_Language_keys[Column1])</f>
        <v>Catalan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7</v>
      </c>
      <c r="Z18">
        <v>5</v>
      </c>
      <c r="AA18">
        <v>5</v>
      </c>
      <c r="AB18">
        <v>5</v>
      </c>
      <c r="AC18">
        <v>1</v>
      </c>
      <c r="AD18">
        <v>3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2</v>
      </c>
      <c r="AK18">
        <v>0</v>
      </c>
      <c r="AL18">
        <v>2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22</v>
      </c>
      <c r="AS18">
        <f>SUM(language_analysis_by_year[[#This Row],[1971]:[2024]])</f>
        <v>56</v>
      </c>
    </row>
    <row r="19" spans="1:45" x14ac:dyDescent="0.25">
      <c r="A19" t="str">
        <f ca="1">_xlfn.XLOOKUP(language_analysis_by_year[[#This Row],[Language]],Gutenberg_Language_keys[Column2],Gutenberg_Language_keys[Column1])</f>
        <v>Polish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2</v>
      </c>
      <c r="Z19">
        <v>1</v>
      </c>
      <c r="AA19">
        <v>0</v>
      </c>
      <c r="AB19">
        <v>4</v>
      </c>
      <c r="AC19">
        <v>15</v>
      </c>
      <c r="AD19">
        <v>5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f>SUM(language_analysis_by_year[[#This Row],[1971]:[2024]])</f>
        <v>31</v>
      </c>
    </row>
    <row r="20" spans="1:45" x14ac:dyDescent="0.25">
      <c r="A20" t="str">
        <f ca="1">_xlfn.XLOOKUP(language_analysis_by_year[[#This Row],[Language]],Gutenberg_Language_keys[Column2],Gutenberg_Language_keys[Column1])</f>
        <v>Japanese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9</v>
      </c>
      <c r="AE20">
        <v>7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f>SUM(language_analysis_by_year[[#This Row],[1971]:[2024]])</f>
        <v>22</v>
      </c>
    </row>
    <row r="21" spans="1:45" x14ac:dyDescent="0.25">
      <c r="A21" t="str">
        <f ca="1">_xlfn.XLOOKUP(language_analysis_by_year[[#This Row],[Language]],Gutenberg_Language_keys[Column2],Gutenberg_Language_keys[Column1])</f>
        <v>Norwegian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</v>
      </c>
      <c r="Y21">
        <v>5</v>
      </c>
      <c r="Z21">
        <v>0</v>
      </c>
      <c r="AA21">
        <v>1</v>
      </c>
      <c r="AB21">
        <v>0</v>
      </c>
      <c r="AC21">
        <v>1</v>
      </c>
      <c r="AD21">
        <v>4</v>
      </c>
      <c r="AE21">
        <v>0</v>
      </c>
      <c r="AF21">
        <v>0</v>
      </c>
      <c r="AG21">
        <v>3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0</v>
      </c>
      <c r="AS21">
        <f>SUM(language_analysis_by_year[[#This Row],[1971]:[2024]])</f>
        <v>21</v>
      </c>
    </row>
    <row r="22" spans="1:45" x14ac:dyDescent="0.25">
      <c r="A22" t="str">
        <f ca="1">_xlfn.XLOOKUP(language_analysis_by_year[[#This Row],[Language]],Gutenberg_Language_keys[Column2],Gutenberg_Language_keys[Column1])</f>
        <v>Frisian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10</v>
      </c>
      <c r="AS22">
        <f>SUM(language_analysis_by_year[[#This Row],[1971]:[2024]])</f>
        <v>16</v>
      </c>
    </row>
    <row r="23" spans="1:45" x14ac:dyDescent="0.25">
      <c r="A23" t="str">
        <f ca="1">_xlfn.XLOOKUP(language_analysis_by_year[[#This Row],[Language]],Gutenberg_Language_keys[Column2],Gutenberg_Language_keys[Column1])</f>
        <v>Afrikaans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4</v>
      </c>
      <c r="AO23">
        <v>4</v>
      </c>
      <c r="AP23">
        <v>0</v>
      </c>
      <c r="AQ23">
        <v>3</v>
      </c>
      <c r="AR23">
        <v>0</v>
      </c>
      <c r="AS23">
        <f>SUM(language_analysis_by_year[[#This Row],[1971]:[2024]])</f>
        <v>15</v>
      </c>
    </row>
    <row r="24" spans="1:45" x14ac:dyDescent="0.25">
      <c r="A24" t="str">
        <f ca="1">_xlfn.XLOOKUP(language_analysis_by_year[[#This Row],[Language]],Gutenberg_Language_keys[Column2],Gutenberg_Language_keys[Column1])</f>
        <v>Welsh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1</v>
      </c>
      <c r="X24">
        <v>2</v>
      </c>
      <c r="Y24">
        <v>2</v>
      </c>
      <c r="Z24">
        <v>2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2</v>
      </c>
      <c r="AQ24">
        <v>0</v>
      </c>
      <c r="AR24">
        <v>0</v>
      </c>
      <c r="AS24">
        <f>SUM(language_analysis_by_year[[#This Row],[1971]:[2024]])</f>
        <v>15</v>
      </c>
    </row>
    <row r="25" spans="1:45" x14ac:dyDescent="0.25">
      <c r="A25" t="str">
        <f ca="1">_xlfn.XLOOKUP(language_analysis_by_year[[#This Row],[Language]],Gutenberg_Language_keys[Column2],Gutenberg_Language_keys[Column1])</f>
        <v>Czech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4</v>
      </c>
      <c r="AD25">
        <v>1</v>
      </c>
      <c r="AE25">
        <v>1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0</v>
      </c>
      <c r="AR25">
        <v>0</v>
      </c>
      <c r="AS25">
        <f>SUM(language_analysis_by_year[[#This Row],[1971]:[2024]])</f>
        <v>12</v>
      </c>
    </row>
    <row r="26" spans="1:45" x14ac:dyDescent="0.25">
      <c r="A26" t="str">
        <f ca="1">_xlfn.XLOOKUP(language_analysis_by_year[[#This Row],[Language]],Gutenberg_Language_keys[Column2],Gutenberg_Language_keys[Column1])</f>
        <v>Russian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2</v>
      </c>
      <c r="Z26">
        <v>1</v>
      </c>
      <c r="AA26">
        <v>3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f>SUM(language_analysis_by_year[[#This Row],[1971]:[2024]])</f>
        <v>9</v>
      </c>
    </row>
    <row r="27" spans="1:45" x14ac:dyDescent="0.25">
      <c r="A27" t="str">
        <f ca="1">_xlfn.XLOOKUP(language_analysis_by_year[[#This Row],[Language]],Gutenberg_Language_keys[Column2],Gutenberg_Language_keys[Column1])</f>
        <v>Friulian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f>SUM(language_analysis_by_year[[#This Row],[1971]:[2024]])</f>
        <v>7</v>
      </c>
    </row>
    <row r="28" spans="1:45" x14ac:dyDescent="0.25">
      <c r="A28" t="str">
        <f ca="1">_xlfn.XLOOKUP(language_analysis_by_year[[#This Row],[Language]],Gutenberg_Language_keys[Column2],Gutenberg_Language_keys[Column1])</f>
        <v>Hebrew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f>SUM(language_analysis_by_year[[#This Row],[1971]:[2024]])</f>
        <v>7</v>
      </c>
    </row>
    <row r="29" spans="1:45" x14ac:dyDescent="0.25">
      <c r="A29" t="str">
        <f ca="1">_xlfn.XLOOKUP(language_analysis_by_year[[#This Row],[Language]],Gutenberg_Language_keys[Column2],Gutenberg_Language_keys[Column1])</f>
        <v>Icelandic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</v>
      </c>
      <c r="Z29">
        <v>1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f>SUM(language_analysis_by_year[[#This Row],[1971]:[2024]])</f>
        <v>7</v>
      </c>
    </row>
    <row r="30" spans="1:45" x14ac:dyDescent="0.25">
      <c r="A30" t="str">
        <f ca="1">_xlfn.XLOOKUP(language_analysis_by_year[[#This Row],[Language]],Gutenberg_Language_keys[Column2],Gutenberg_Language_keys[Column1])</f>
        <v>Bulgarian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</v>
      </c>
      <c r="V30">
        <v>1</v>
      </c>
      <c r="W30">
        <v>0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f>SUM(language_analysis_by_year[[#This Row],[1971]:[2024]])</f>
        <v>6</v>
      </c>
    </row>
    <row r="31" spans="1:45" x14ac:dyDescent="0.25">
      <c r="A31" t="str">
        <f ca="1">_xlfn.XLOOKUP(language_analysis_by_year[[#This Row],[Language]],Gutenberg_Language_keys[Column2],Gutenberg_Language_keys[Column1])</f>
        <v>Middle English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f>SUM(language_analysis_by_year[[#This Row],[1971]:[2024]])</f>
        <v>6</v>
      </c>
    </row>
    <row r="32" spans="1:45" x14ac:dyDescent="0.25">
      <c r="A32" t="str">
        <f ca="1">_xlfn.XLOOKUP(language_analysis_by_year[[#This Row],[Language]],Gutenberg_Language_keys[Column2],Gutenberg_Language_keys[Column1])</f>
        <v>Telugu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</v>
      </c>
      <c r="AG32">
        <v>2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f>SUM(language_analysis_by_year[[#This Row],[1971]:[2024]])</f>
        <v>6</v>
      </c>
    </row>
    <row r="33" spans="1:45" x14ac:dyDescent="0.25">
      <c r="A33" t="str">
        <f ca="1">_xlfn.XLOOKUP(language_analysis_by_year[[#This Row],[Language]],Gutenberg_Language_keys[Column2],Gutenberg_Language_keys[Column1])</f>
        <v>Romenian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2</v>
      </c>
      <c r="AP33">
        <v>0</v>
      </c>
      <c r="AQ33">
        <v>0</v>
      </c>
      <c r="AR33">
        <v>0</v>
      </c>
      <c r="AS33">
        <f>SUM(language_analysis_by_year[[#This Row],[1971]:[2024]])</f>
        <v>5</v>
      </c>
    </row>
    <row r="34" spans="1:45" x14ac:dyDescent="0.25">
      <c r="A34" t="str">
        <f ca="1">_xlfn.XLOOKUP(language_analysis_by_year[[#This Row],[Language]],Gutenberg_Language_keys[Column2],Gutenberg_Language_keys[Column1])</f>
        <v>Old English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f>SUM(language_analysis_by_year[[#This Row],[1971]:[2024]])</f>
        <v>4</v>
      </c>
    </row>
    <row r="35" spans="1:45" x14ac:dyDescent="0.25">
      <c r="A35" t="str">
        <f ca="1">_xlfn.XLOOKUP(language_analysis_by_year[[#This Row],[Language]],Gutenberg_Language_keys[Column2],Gutenberg_Language_keys[Column1])</f>
        <v>Serbian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f>SUM(language_analysis_by_year[[#This Row],[1971]:[2024]])</f>
        <v>4</v>
      </c>
    </row>
    <row r="36" spans="1:45" x14ac:dyDescent="0.25">
      <c r="A36" t="str">
        <f ca="1">_xlfn.XLOOKUP(language_analysis_by_year[[#This Row],[Language]],Gutenberg_Language_keys[Column2],Gutenberg_Language_keys[Column1])</f>
        <v>Cebuano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f>SUM(language_analysis_by_year[[#This Row],[1971]:[2024]])</f>
        <v>3</v>
      </c>
    </row>
    <row r="37" spans="1:45" x14ac:dyDescent="0.25">
      <c r="A37" t="str">
        <f ca="1">_xlfn.XLOOKUP(language_analysis_by_year[[#This Row],[Language]],Gutenberg_Language_keys[Column2],Gutenberg_Language_keys[Column1])</f>
        <v>Irish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f>SUM(language_analysis_by_year[[#This Row],[1971]:[2024]])</f>
        <v>3</v>
      </c>
    </row>
    <row r="38" spans="1:45" x14ac:dyDescent="0.25">
      <c r="A38" t="str">
        <f ca="1">_xlfn.XLOOKUP(language_analysis_by_year[[#This Row],[Language]],Gutenberg_Language_keys[Column2],Gutenberg_Language_keys[Column1])</f>
        <v>Galician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0</v>
      </c>
      <c r="AR38">
        <v>0</v>
      </c>
      <c r="AS38">
        <f>SUM(language_analysis_by_year[[#This Row],[1971]:[2024]])</f>
        <v>3</v>
      </c>
    </row>
    <row r="39" spans="1:45" x14ac:dyDescent="0.25">
      <c r="A39" t="str">
        <f ca="1">_xlfn.XLOOKUP(language_analysis_by_year[[#This Row],[Language]],Gutenberg_Language_keys[Column2],Gutenberg_Language_keys[Column1])</f>
        <v>Greek;Ancient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f>SUM(language_analysis_by_year[[#This Row],[1971]:[2024]])</f>
        <v>3</v>
      </c>
    </row>
    <row r="40" spans="1:45" x14ac:dyDescent="0.25">
      <c r="A40" t="str">
        <f ca="1">_xlfn.XLOOKUP(language_analysis_by_year[[#This Row],[Language]],Gutenberg_Language_keys[Column2],Gutenberg_Language_keys[Column1])</f>
        <v>Iloko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f>SUM(language_analysis_by_year[[#This Row],[1971]:[2024]])</f>
        <v>3</v>
      </c>
    </row>
    <row r="41" spans="1:45" x14ac:dyDescent="0.25">
      <c r="A41" t="str">
        <f ca="1">_xlfn.XLOOKUP(language_analysis_by_year[[#This Row],[Language]],Gutenberg_Language_keys[Column2],Gutenberg_Language_keys[Column1])</f>
        <v>Mayan Languages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f>SUM(language_analysis_by_year[[#This Row],[1971]:[2024]])</f>
        <v>3</v>
      </c>
    </row>
    <row r="42" spans="1:45" x14ac:dyDescent="0.25">
      <c r="A42" t="str">
        <f ca="1">_xlfn.XLOOKUP(language_analysis_by_year[[#This Row],[Language]],Gutenberg_Language_keys[Column2],Gutenberg_Language_keys[Column1])</f>
        <v>Nahuatl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f>SUM(language_analysis_by_year[[#This Row],[1971]:[2024]])</f>
        <v>3</v>
      </c>
    </row>
    <row r="43" spans="1:45" x14ac:dyDescent="0.25">
      <c r="A43" t="str">
        <f ca="1">_xlfn.XLOOKUP(language_analysis_by_year[[#This Row],[Language]],Gutenberg_Language_keys[Column2],Gutenberg_Language_keys[Column1])</f>
        <v>North American Indian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f>SUM(language_analysis_by_year[[#This Row],[1971]:[2024]])</f>
        <v>3</v>
      </c>
    </row>
    <row r="44" spans="1:45" x14ac:dyDescent="0.25">
      <c r="A44" t="str">
        <f ca="1">_xlfn.XLOOKUP(language_analysis_by_year[[#This Row],[Language]],Gutenberg_Language_keys[Column2],Gutenberg_Language_keys[Column1])</f>
        <v>Navajo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f>SUM(language_analysis_by_year[[#This Row],[1971]:[2024]])</f>
        <v>3</v>
      </c>
    </row>
    <row r="45" spans="1:45" x14ac:dyDescent="0.25">
      <c r="A45" t="str">
        <f ca="1">_xlfn.XLOOKUP(language_analysis_by_year[[#This Row],[Language]],Gutenberg_Language_keys[Column2],Gutenberg_Language_keys[Column1])</f>
        <v>Slovenian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1</v>
      </c>
      <c r="AS45">
        <f>SUM(language_analysis_by_year[[#This Row],[1971]:[2024]])</f>
        <v>3</v>
      </c>
    </row>
    <row r="46" spans="1:45" x14ac:dyDescent="0.25">
      <c r="A46" t="str">
        <f ca="1">_xlfn.XLOOKUP(language_analysis_by_year[[#This Row],[Language]],Gutenberg_Language_keys[Column2],Gutenberg_Language_keys[Column1])</f>
        <v>Arapaho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f>SUM(language_analysis_by_year[[#This Row],[1971]:[2024]])</f>
        <v>2</v>
      </c>
    </row>
    <row r="47" spans="1:45" x14ac:dyDescent="0.25">
      <c r="A47" t="str">
        <f ca="1">_xlfn.XLOOKUP(language_analysis_by_year[[#This Row],[Language]],Gutenberg_Language_keys[Column2],Gutenberg_Language_keys[Column1])</f>
        <v>Bodo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f>SUM(language_analysis_by_year[[#This Row],[1971]:[2024]])</f>
        <v>2</v>
      </c>
    </row>
    <row r="48" spans="1:45" x14ac:dyDescent="0.25">
      <c r="A48" t="str">
        <f ca="1">_xlfn.XLOOKUP(language_analysis_by_year[[#This Row],[Language]],Gutenberg_Language_keys[Column2],Gutenberg_Language_keys[Column1])</f>
        <v>Gaelic;Scottish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f>SUM(language_analysis_by_year[[#This Row],[1971]:[2024]])</f>
        <v>2</v>
      </c>
    </row>
    <row r="49" spans="1:45" x14ac:dyDescent="0.25">
      <c r="A49" t="str">
        <f ca="1">_xlfn.XLOOKUP(language_analysis_by_year[[#This Row],[Language]],Gutenberg_Language_keys[Column2],Gutenberg_Language_keys[Column1])</f>
        <v>Maori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f>SUM(language_analysis_by_year[[#This Row],[1971]:[2024]])</f>
        <v>2</v>
      </c>
    </row>
    <row r="50" spans="1:45" x14ac:dyDescent="0.25">
      <c r="A50" t="str">
        <f ca="1">_xlfn.XLOOKUP(language_analysis_by_year[[#This Row],[Language]],Gutenberg_Language_keys[Column2],Gutenberg_Language_keys[Column1])</f>
        <v>Occitan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f>SUM(language_analysis_by_year[[#This Row],[1971]:[2024]])</f>
        <v>2</v>
      </c>
    </row>
    <row r="51" spans="1:45" x14ac:dyDescent="0.25">
      <c r="A51" t="str">
        <f ca="1">_xlfn.XLOOKUP(language_analysis_by_year[[#This Row],[Language]],Gutenberg_Language_keys[Column2],Gutenberg_Language_keys[Column1])</f>
        <v>Aleut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f>SUM(language_analysis_by_year[[#This Row],[1971]:[2024]])</f>
        <v>1</v>
      </c>
    </row>
    <row r="52" spans="1:45" x14ac:dyDescent="0.25">
      <c r="A52" t="str">
        <f ca="1">_xlfn.XLOOKUP(language_analysis_by_year[[#This Row],[Language]],Gutenberg_Language_keys[Column2],Gutenberg_Language_keys[Column1])</f>
        <v>Arabic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f>SUM(language_analysis_by_year[[#This Row],[1971]:[2024]])</f>
        <v>1</v>
      </c>
    </row>
    <row r="53" spans="1:45" x14ac:dyDescent="0.25">
      <c r="A53" t="str">
        <f ca="1">_xlfn.XLOOKUP(language_analysis_by_year[[#This Row],[Language]],Gutenberg_Language_keys[Column2],Gutenberg_Language_keys[Column1])</f>
        <v>Tagabawa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f>SUM(language_analysis_by_year[[#This Row],[1971]:[2024]])</f>
        <v>1</v>
      </c>
    </row>
    <row r="54" spans="1:45" x14ac:dyDescent="0.25">
      <c r="A54" t="str">
        <f ca="1">_xlfn.XLOOKUP(language_analysis_by_year[[#This Row],[Language]],Gutenberg_Language_keys[Column2],Gutenberg_Language_keys[Column1])</f>
        <v>Tibetan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f>SUM(language_analysis_by_year[[#This Row],[1971]:[2024]])</f>
        <v>1</v>
      </c>
    </row>
    <row r="55" spans="1:45" x14ac:dyDescent="0.25">
      <c r="A55" t="str">
        <f ca="1">_xlfn.XLOOKUP(language_analysis_by_year[[#This Row],[Language]],Gutenberg_Language_keys[Column2],Gutenberg_Language_keys[Column1])</f>
        <v>Breton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f>SUM(language_analysis_by_year[[#This Row],[1971]:[2024]])</f>
        <v>1</v>
      </c>
    </row>
    <row r="56" spans="1:45" x14ac:dyDescent="0.25">
      <c r="A56" t="str">
        <f ca="1">_xlfn.XLOOKUP(language_analysis_by_year[[#This Row],[Language]],Gutenberg_Language_keys[Column2],Gutenberg_Language_keys[Column1])</f>
        <v>Kashubian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f>SUM(language_analysis_by_year[[#This Row],[1971]:[2024]])</f>
        <v>1</v>
      </c>
    </row>
    <row r="57" spans="1:45" x14ac:dyDescent="0.25">
      <c r="A57" t="str">
        <f ca="1">_xlfn.XLOOKUP(language_analysis_by_year[[#This Row],[Language]],Gutenberg_Language_keys[Column2],Gutenberg_Language_keys[Column1])</f>
        <v>Estonian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f>SUM(language_analysis_by_year[[#This Row],[1971]:[2024]])</f>
        <v>1</v>
      </c>
    </row>
    <row r="58" spans="1:45" x14ac:dyDescent="0.25">
      <c r="A58" t="str">
        <f ca="1">_xlfn.XLOOKUP(language_analysis_by_year[[#This Row],[Language]],Gutenberg_Language_keys[Column2],Gutenberg_Language_keys[Column1])</f>
        <v>Farsi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f>SUM(language_analysis_by_year[[#This Row],[1971]:[2024]])</f>
        <v>1</v>
      </c>
    </row>
    <row r="59" spans="1:45" x14ac:dyDescent="0.25">
      <c r="A59" t="str">
        <f ca="1">_xlfn.XLOOKUP(language_analysis_by_year[[#This Row],[Language]],Gutenberg_Language_keys[Column2],Gutenberg_Language_keys[Column1])</f>
        <v>Haida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f>SUM(language_analysis_by_year[[#This Row],[1971]:[2024]])</f>
        <v>1</v>
      </c>
    </row>
    <row r="60" spans="1:45" x14ac:dyDescent="0.25">
      <c r="A60" t="str">
        <f ca="1">_xlfn.XLOOKUP(language_analysis_by_year[[#This Row],[Language]],Gutenberg_Language_keys[Column2],Gutenberg_Language_keys[Column1])</f>
        <v>Interlingua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f>SUM(language_analysis_by_year[[#This Row],[1971]:[2024]])</f>
        <v>1</v>
      </c>
    </row>
    <row r="61" spans="1:45" x14ac:dyDescent="0.25">
      <c r="A61" t="str">
        <f ca="1">_xlfn.XLOOKUP(language_analysis_by_year[[#This Row],[Language]],Gutenberg_Language_keys[Column2],Gutenberg_Language_keys[Column1])</f>
        <v>Inuktitut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f>SUM(language_analysis_by_year[[#This Row],[1971]:[2024]])</f>
        <v>1</v>
      </c>
    </row>
    <row r="62" spans="1:45" x14ac:dyDescent="0.25">
      <c r="A62" t="str">
        <f ca="1">_xlfn.XLOOKUP(language_analysis_by_year[[#This Row],[Language]],Gutenberg_Language_keys[Column2],Gutenberg_Language_keys[Column1])</f>
        <v>Khasi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f>SUM(language_analysis_by_year[[#This Row],[1971]:[2024]])</f>
        <v>1</v>
      </c>
    </row>
    <row r="63" spans="1:45" x14ac:dyDescent="0.25">
      <c r="A63" t="str">
        <f ca="1">_xlfn.XLOOKUP(language_analysis_by_year[[#This Row],[Language]],Gutenberg_Language_keys[Column2],Gutenberg_Language_keys[Column1])</f>
        <v>Gamilaraay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f>SUM(language_analysis_by_year[[#This Row],[1971]:[2024]])</f>
        <v>1</v>
      </c>
    </row>
    <row r="64" spans="1:45" x14ac:dyDescent="0.25">
      <c r="A64" t="str">
        <f ca="1">_xlfn.XLOOKUP(language_analysis_by_year[[#This Row],[Language]],Gutenberg_Language_keys[Column2],Gutenberg_Language_keys[Column1])</f>
        <v>Korean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f>SUM(language_analysis_by_year[[#This Row],[1971]:[2024]])</f>
        <v>1</v>
      </c>
    </row>
    <row r="65" spans="1:45" x14ac:dyDescent="0.25">
      <c r="A65" t="str">
        <f ca="1">_xlfn.XLOOKUP(language_analysis_by_year[[#This Row],[Language]],Gutenberg_Language_keys[Column2],Gutenberg_Language_keys[Column1])</f>
        <v>Lithuanian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f>SUM(language_analysis_by_year[[#This Row],[1971]:[2024]])</f>
        <v>1</v>
      </c>
    </row>
    <row r="66" spans="1:45" x14ac:dyDescent="0.25">
      <c r="A66" t="str">
        <f ca="1">_xlfn.XLOOKUP(language_analysis_by_year[[#This Row],[Language]],Gutenberg_Language_keys[Column2],Gutenberg_Language_keys[Column1])</f>
        <v>Napoletano-Calabrese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f>SUM(language_analysis_by_year[[#This Row],[1971]:[2024]])</f>
        <v>1</v>
      </c>
    </row>
    <row r="67" spans="1:45" x14ac:dyDescent="0.25">
      <c r="A67" t="str">
        <f ca="1">_xlfn.XLOOKUP(language_analysis_by_year[[#This Row],[Language]],Gutenberg_Language_keys[Column2],Gutenberg_Language_keys[Column1])</f>
        <v>Ojibwa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f>SUM(language_analysis_by_year[[#This Row],[1971]:[2024]])</f>
        <v>1</v>
      </c>
    </row>
    <row r="68" spans="1:45" x14ac:dyDescent="0.25">
      <c r="A68" t="str">
        <f ca="1">_xlfn.XLOOKUP(language_analysis_by_year[[#This Row],[Language]],Gutenberg_Language_keys[Column2],Gutenberg_Language_keys[Column1])</f>
        <v>Caló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f>SUM(language_analysis_by_year[[#This Row],[1971]:[2024]])</f>
        <v>1</v>
      </c>
    </row>
    <row r="69" spans="1:45" x14ac:dyDescent="0.25">
      <c r="A69" t="str">
        <f ca="1">_xlfn.XLOOKUP(language_analysis_by_year[[#This Row],[Language]],Gutenberg_Language_keys[Column2],Gutenberg_Language_keys[Column1])</f>
        <v>Sanskrit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f>SUM(language_analysis_by_year[[#This Row],[1971]:[2024]])</f>
        <v>1</v>
      </c>
    </row>
    <row r="70" spans="1:45" x14ac:dyDescent="0.25">
      <c r="A70" t="str">
        <f ca="1">_xlfn.XLOOKUP(language_analysis_by_year[[#This Row],[Language]],Gutenberg_Language_keys[Column2],Gutenberg_Language_keys[Column1])</f>
        <v>Scots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f>SUM(language_analysis_by_year[[#This Row],[1971]:[2024]])</f>
        <v>1</v>
      </c>
    </row>
    <row r="71" spans="1:45" x14ac:dyDescent="0.25">
      <c r="A71" t="str">
        <f ca="1">_xlfn.XLOOKUP(language_analysis_by_year[[#This Row],[Language]],Gutenberg_Language_keys[Column2],Gutenberg_Language_keys[Column1])</f>
        <v>Yiddish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f>SUM(language_analysis_by_year[[#This Row],[1971]:[2024]])</f>
        <v>1</v>
      </c>
    </row>
    <row r="72" spans="1:45" x14ac:dyDescent="0.25">
      <c r="A72" s="1" t="s">
        <v>2</v>
      </c>
      <c r="B72" t="s">
        <v>144</v>
      </c>
      <c r="C72" t="s">
        <v>145</v>
      </c>
      <c r="D72" t="s">
        <v>146</v>
      </c>
      <c r="E72" t="s">
        <v>147</v>
      </c>
      <c r="F72" t="s">
        <v>148</v>
      </c>
      <c r="G72" t="s">
        <v>149</v>
      </c>
      <c r="H72" t="s">
        <v>150</v>
      </c>
      <c r="I72" t="s">
        <v>151</v>
      </c>
      <c r="J72" t="s">
        <v>152</v>
      </c>
      <c r="K72" t="s">
        <v>153</v>
      </c>
      <c r="L72" t="s">
        <v>154</v>
      </c>
      <c r="M72" t="s">
        <v>155</v>
      </c>
      <c r="N72" t="s">
        <v>156</v>
      </c>
      <c r="O72" t="s">
        <v>157</v>
      </c>
      <c r="P72" t="s">
        <v>158</v>
      </c>
      <c r="Q72" t="s">
        <v>159</v>
      </c>
      <c r="R72" t="s">
        <v>160</v>
      </c>
      <c r="S72" t="s">
        <v>161</v>
      </c>
      <c r="T72" t="s">
        <v>162</v>
      </c>
      <c r="U72" t="s">
        <v>163</v>
      </c>
      <c r="V72" t="s">
        <v>164</v>
      </c>
      <c r="W72" t="s">
        <v>165</v>
      </c>
      <c r="X72" t="s">
        <v>166</v>
      </c>
      <c r="Y72" t="s">
        <v>167</v>
      </c>
      <c r="Z72" t="s">
        <v>168</v>
      </c>
      <c r="AA72" t="s">
        <v>169</v>
      </c>
      <c r="AB72" t="s">
        <v>170</v>
      </c>
      <c r="AC72" t="s">
        <v>171</v>
      </c>
      <c r="AD72" t="s">
        <v>172</v>
      </c>
      <c r="AE72" t="s">
        <v>173</v>
      </c>
      <c r="AF72" t="s">
        <v>174</v>
      </c>
      <c r="AG72" t="s">
        <v>175</v>
      </c>
      <c r="AH72" t="s">
        <v>176</v>
      </c>
      <c r="AI72" t="s">
        <v>177</v>
      </c>
      <c r="AJ72" t="s">
        <v>178</v>
      </c>
      <c r="AK72" t="s">
        <v>179</v>
      </c>
      <c r="AL72" t="s">
        <v>180</v>
      </c>
      <c r="AM72" t="s">
        <v>181</v>
      </c>
      <c r="AN72" t="s">
        <v>182</v>
      </c>
      <c r="AO72" t="s">
        <v>183</v>
      </c>
      <c r="AP72" t="s">
        <v>184</v>
      </c>
      <c r="AQ72" t="s">
        <v>185</v>
      </c>
      <c r="AR72" t="s">
        <v>186</v>
      </c>
      <c r="AS72" t="s">
        <v>187</v>
      </c>
    </row>
    <row r="73" spans="1:45" x14ac:dyDescent="0.25">
      <c r="A73" s="1" t="s">
        <v>4</v>
      </c>
      <c r="B73">
        <v>1</v>
      </c>
      <c r="C73">
        <v>1</v>
      </c>
      <c r="D73">
        <v>2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5</v>
      </c>
      <c r="L73">
        <v>13</v>
      </c>
      <c r="M73">
        <v>36</v>
      </c>
      <c r="N73">
        <v>58</v>
      </c>
      <c r="O73">
        <v>102</v>
      </c>
      <c r="P73">
        <v>334</v>
      </c>
      <c r="Q73">
        <v>315</v>
      </c>
      <c r="R73">
        <v>348</v>
      </c>
      <c r="S73">
        <v>339</v>
      </c>
      <c r="T73">
        <v>311</v>
      </c>
      <c r="U73">
        <v>313</v>
      </c>
      <c r="V73">
        <v>376</v>
      </c>
      <c r="W73">
        <v>1373</v>
      </c>
      <c r="X73">
        <v>6363</v>
      </c>
      <c r="Y73">
        <v>4273</v>
      </c>
      <c r="Z73">
        <v>2887</v>
      </c>
      <c r="AA73">
        <v>3203</v>
      </c>
      <c r="AB73">
        <v>2798</v>
      </c>
      <c r="AC73">
        <v>2507</v>
      </c>
      <c r="AD73">
        <v>3282</v>
      </c>
      <c r="AE73">
        <v>3007</v>
      </c>
      <c r="AF73">
        <v>2697</v>
      </c>
      <c r="AG73">
        <v>2230</v>
      </c>
      <c r="AH73">
        <v>2474</v>
      </c>
      <c r="AI73">
        <v>2194</v>
      </c>
      <c r="AJ73">
        <v>2237</v>
      </c>
      <c r="AK73">
        <v>1865</v>
      </c>
      <c r="AL73">
        <v>1770</v>
      </c>
      <c r="AM73">
        <v>2013</v>
      </c>
      <c r="AN73">
        <v>2280</v>
      </c>
      <c r="AO73">
        <v>2207</v>
      </c>
      <c r="AP73">
        <v>1983</v>
      </c>
      <c r="AQ73">
        <v>2207</v>
      </c>
      <c r="AR73">
        <v>1573</v>
      </c>
      <c r="AS73">
        <f>AS2</f>
        <v>59983</v>
      </c>
    </row>
    <row r="74" spans="1:45" x14ac:dyDescent="0.25">
      <c r="A74" s="1" t="s">
        <v>191</v>
      </c>
      <c r="B74">
        <f>SUM(B3:B71)</f>
        <v>0</v>
      </c>
      <c r="C74">
        <f>SUM(C3:C71)</f>
        <v>0</v>
      </c>
      <c r="D74">
        <f>SUM(D3:D71)</f>
        <v>0</v>
      </c>
      <c r="E74">
        <f>SUM(E3:E71)</f>
        <v>0</v>
      </c>
      <c r="F74">
        <f>SUM(F3:F71)</f>
        <v>0</v>
      </c>
      <c r="G74">
        <f>SUM(G3:G71)</f>
        <v>0</v>
      </c>
      <c r="H74">
        <f>SUM(H3:H71)</f>
        <v>0</v>
      </c>
      <c r="I74">
        <f>SUM(I3:I71)</f>
        <v>0</v>
      </c>
      <c r="J74">
        <f>SUM(J3:J71)</f>
        <v>0</v>
      </c>
      <c r="K74">
        <f>SUM(K3:K71)</f>
        <v>0</v>
      </c>
      <c r="L74">
        <f>SUM(L3:L71)</f>
        <v>0</v>
      </c>
      <c r="M74">
        <f>SUM(M3:M71)</f>
        <v>0</v>
      </c>
      <c r="N74">
        <f>SUM(N3:N71)</f>
        <v>0</v>
      </c>
      <c r="O74">
        <f>SUM(O3:O71)</f>
        <v>6</v>
      </c>
      <c r="P74">
        <f>SUM(P3:P71)</f>
        <v>3</v>
      </c>
      <c r="Q74">
        <f>SUM(Q3:Q71)</f>
        <v>20</v>
      </c>
      <c r="R74">
        <f>SUM(R3:R71)</f>
        <v>2</v>
      </c>
      <c r="S74">
        <f>SUM(S3:S71)</f>
        <v>5</v>
      </c>
      <c r="T74">
        <f>SUM(T3:T71)</f>
        <v>43</v>
      </c>
      <c r="U74">
        <f>SUM(U3:U71)</f>
        <v>20</v>
      </c>
      <c r="V74">
        <f>SUM(V3:V71)</f>
        <v>33</v>
      </c>
      <c r="W74">
        <f>SUM(W3:W71)</f>
        <v>111</v>
      </c>
      <c r="X74">
        <f>SUM(X3:X71)</f>
        <v>775</v>
      </c>
      <c r="Y74">
        <f>SUM(Y3:Y71)</f>
        <v>863</v>
      </c>
      <c r="Z74">
        <f>SUM(Z3:Z71)</f>
        <v>761</v>
      </c>
      <c r="AA74">
        <f>SUM(AA3:AA71)</f>
        <v>659</v>
      </c>
      <c r="AB74">
        <f>SUM(AB3:AB71)</f>
        <v>932</v>
      </c>
      <c r="AC74">
        <f>SUM(AC3:AC71)</f>
        <v>662</v>
      </c>
      <c r="AD74">
        <f>SUM(AD3:AD71)</f>
        <v>710</v>
      </c>
      <c r="AE74">
        <f>SUM(AE3:AE71)</f>
        <v>659</v>
      </c>
      <c r="AF74">
        <f>SUM(AF3:AF71)</f>
        <v>599</v>
      </c>
      <c r="AG74">
        <f>SUM(AG3:AG71)</f>
        <v>600</v>
      </c>
      <c r="AH74">
        <f>SUM(AH3:AH71)</f>
        <v>811</v>
      </c>
      <c r="AI74">
        <f>SUM(AI3:AI71)</f>
        <v>791</v>
      </c>
      <c r="AJ74">
        <f>SUM(AJ3:AJ71)</f>
        <v>809</v>
      </c>
      <c r="AK74">
        <f>SUM(AK3:AK71)</f>
        <v>571</v>
      </c>
      <c r="AL74">
        <f>SUM(AL3:AL71)</f>
        <v>539</v>
      </c>
      <c r="AM74">
        <f>SUM(AM3:AM71)</f>
        <v>473</v>
      </c>
      <c r="AN74">
        <f>SUM(AN3:AN71)</f>
        <v>851</v>
      </c>
      <c r="AO74">
        <f>SUM(AO3:AO71)</f>
        <v>662</v>
      </c>
      <c r="AP74">
        <f>SUM(AP3:AP71)</f>
        <v>589</v>
      </c>
      <c r="AQ74">
        <f>SUM(AQ3:AQ71)</f>
        <v>644</v>
      </c>
      <c r="AR74">
        <f>SUM(AR3:AR71)</f>
        <v>864</v>
      </c>
      <c r="AS74">
        <f>SUM(AS3:AS71)</f>
        <v>15067</v>
      </c>
    </row>
    <row r="76" spans="1:45" x14ac:dyDescent="0.25">
      <c r="A76" s="1" t="s">
        <v>2</v>
      </c>
      <c r="B76" t="s">
        <v>144</v>
      </c>
      <c r="C76" t="s">
        <v>145</v>
      </c>
      <c r="D76" t="s">
        <v>146</v>
      </c>
      <c r="E76" t="s">
        <v>147</v>
      </c>
      <c r="F76" t="s">
        <v>148</v>
      </c>
      <c r="G76" t="s">
        <v>149</v>
      </c>
      <c r="H76" t="s">
        <v>150</v>
      </c>
      <c r="I76" t="s">
        <v>151</v>
      </c>
      <c r="J76" t="s">
        <v>152</v>
      </c>
      <c r="K76" t="s">
        <v>153</v>
      </c>
      <c r="L76" t="s">
        <v>154</v>
      </c>
      <c r="M76" t="s">
        <v>155</v>
      </c>
      <c r="N76" t="s">
        <v>156</v>
      </c>
      <c r="O76" t="s">
        <v>157</v>
      </c>
      <c r="P76" t="s">
        <v>158</v>
      </c>
      <c r="Q76" t="s">
        <v>159</v>
      </c>
      <c r="R76" t="s">
        <v>160</v>
      </c>
      <c r="S76" t="s">
        <v>161</v>
      </c>
      <c r="T76" t="s">
        <v>162</v>
      </c>
      <c r="U76" t="s">
        <v>163</v>
      </c>
      <c r="V76" t="s">
        <v>164</v>
      </c>
      <c r="W76" t="s">
        <v>165</v>
      </c>
      <c r="X76" t="s">
        <v>166</v>
      </c>
      <c r="Y76" t="s">
        <v>167</v>
      </c>
      <c r="Z76" t="s">
        <v>168</v>
      </c>
      <c r="AA76" t="s">
        <v>169</v>
      </c>
      <c r="AB76" t="s">
        <v>170</v>
      </c>
      <c r="AC76" t="s">
        <v>171</v>
      </c>
      <c r="AD76" t="s">
        <v>172</v>
      </c>
      <c r="AE76" t="s">
        <v>173</v>
      </c>
      <c r="AF76" t="s">
        <v>174</v>
      </c>
      <c r="AG76" t="s">
        <v>175</v>
      </c>
      <c r="AH76" t="s">
        <v>176</v>
      </c>
      <c r="AI76" t="s">
        <v>177</v>
      </c>
      <c r="AJ76" t="s">
        <v>178</v>
      </c>
      <c r="AK76" t="s">
        <v>179</v>
      </c>
      <c r="AL76" t="s">
        <v>180</v>
      </c>
      <c r="AM76" t="s">
        <v>181</v>
      </c>
      <c r="AN76" t="s">
        <v>182</v>
      </c>
      <c r="AO76" t="s">
        <v>183</v>
      </c>
      <c r="AP76" t="s">
        <v>184</v>
      </c>
      <c r="AQ76" t="s">
        <v>185</v>
      </c>
      <c r="AR76" t="s">
        <v>186</v>
      </c>
      <c r="AS76" t="s">
        <v>187</v>
      </c>
    </row>
    <row r="77" spans="1:45" x14ac:dyDescent="0.25">
      <c r="A77" s="1" t="s">
        <v>4</v>
      </c>
      <c r="B77">
        <v>1</v>
      </c>
      <c r="C77">
        <v>1</v>
      </c>
      <c r="D77">
        <v>2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5</v>
      </c>
      <c r="L77">
        <v>13</v>
      </c>
      <c r="M77">
        <v>36</v>
      </c>
      <c r="N77">
        <v>58</v>
      </c>
      <c r="O77">
        <v>102</v>
      </c>
      <c r="P77">
        <v>334</v>
      </c>
      <c r="Q77">
        <v>315</v>
      </c>
      <c r="R77">
        <v>348</v>
      </c>
      <c r="S77">
        <v>339</v>
      </c>
      <c r="T77">
        <v>311</v>
      </c>
      <c r="U77">
        <v>313</v>
      </c>
      <c r="V77">
        <v>376</v>
      </c>
      <c r="W77">
        <v>1373</v>
      </c>
      <c r="X77">
        <v>6363</v>
      </c>
      <c r="Y77">
        <v>4273</v>
      </c>
      <c r="Z77">
        <v>2887</v>
      </c>
      <c r="AA77">
        <v>3203</v>
      </c>
      <c r="AB77">
        <v>2798</v>
      </c>
      <c r="AC77">
        <v>2507</v>
      </c>
      <c r="AD77">
        <v>3282</v>
      </c>
      <c r="AE77">
        <v>3007</v>
      </c>
      <c r="AF77">
        <v>2697</v>
      </c>
      <c r="AG77">
        <v>2230</v>
      </c>
      <c r="AH77">
        <v>2474</v>
      </c>
      <c r="AI77">
        <v>2194</v>
      </c>
      <c r="AJ77">
        <v>2237</v>
      </c>
      <c r="AK77">
        <v>1865</v>
      </c>
      <c r="AL77">
        <v>1770</v>
      </c>
      <c r="AM77">
        <v>2013</v>
      </c>
      <c r="AN77">
        <v>2280</v>
      </c>
      <c r="AO77">
        <v>2207</v>
      </c>
      <c r="AP77">
        <v>1983</v>
      </c>
      <c r="AQ77">
        <v>2207</v>
      </c>
      <c r="AR77">
        <v>1573</v>
      </c>
      <c r="AS77">
        <f>AS6</f>
        <v>1029</v>
      </c>
    </row>
    <row r="78" spans="1:45" x14ac:dyDescent="0.25">
      <c r="A78" s="1" t="s">
        <v>191</v>
      </c>
      <c r="B78">
        <f>SUM(B7:B75)</f>
        <v>1</v>
      </c>
      <c r="C78">
        <f>SUM(C7:C75)</f>
        <v>1</v>
      </c>
      <c r="D78">
        <f>SUM(D7:D75)</f>
        <v>2</v>
      </c>
      <c r="E78">
        <f>SUM(E7:E75)</f>
        <v>1</v>
      </c>
      <c r="F78">
        <f>SUM(F7:F75)</f>
        <v>1</v>
      </c>
      <c r="G78">
        <f>SUM(G7:G75)</f>
        <v>1</v>
      </c>
      <c r="H78">
        <f>SUM(H7:H75)</f>
        <v>1</v>
      </c>
      <c r="I78">
        <f>SUM(I7:I75)</f>
        <v>1</v>
      </c>
      <c r="J78">
        <f>SUM(J7:J75)</f>
        <v>1</v>
      </c>
      <c r="K78">
        <f>SUM(K7:K75)</f>
        <v>5</v>
      </c>
      <c r="L78">
        <f>SUM(L7:L75)</f>
        <v>13</v>
      </c>
      <c r="M78">
        <f>SUM(M7:M75)</f>
        <v>36</v>
      </c>
      <c r="N78">
        <f>SUM(N7:N75)</f>
        <v>58</v>
      </c>
      <c r="O78">
        <f>SUM(O7:O75)</f>
        <v>114</v>
      </c>
      <c r="P78">
        <f>SUM(P7:P75)</f>
        <v>338</v>
      </c>
      <c r="Q78">
        <f>SUM(Q7:Q75)</f>
        <v>347</v>
      </c>
      <c r="R78">
        <f>SUM(R7:R75)</f>
        <v>350</v>
      </c>
      <c r="S78">
        <f>SUM(S7:S75)</f>
        <v>347</v>
      </c>
      <c r="T78">
        <f>SUM(T7:T75)</f>
        <v>359</v>
      </c>
      <c r="U78">
        <f>SUM(U7:U75)</f>
        <v>339</v>
      </c>
      <c r="V78">
        <f>SUM(V7:V75)</f>
        <v>413</v>
      </c>
      <c r="W78">
        <f>SUM(W7:W75)</f>
        <v>1520</v>
      </c>
      <c r="X78">
        <f>SUM(X7:X75)</f>
        <v>7275</v>
      </c>
      <c r="Y78">
        <f>SUM(Y7:Y75)</f>
        <v>5384</v>
      </c>
      <c r="Z78">
        <f>SUM(Z7:Z75)</f>
        <v>3851</v>
      </c>
      <c r="AA78">
        <f>SUM(AA7:AA75)</f>
        <v>4146</v>
      </c>
      <c r="AB78">
        <f>SUM(AB7:AB75)</f>
        <v>4256</v>
      </c>
      <c r="AC78">
        <f>SUM(AC7:AC75)</f>
        <v>3464</v>
      </c>
      <c r="AD78">
        <f>SUM(AD7:AD75)</f>
        <v>4318</v>
      </c>
      <c r="AE78">
        <f>SUM(AE7:AE75)</f>
        <v>3858</v>
      </c>
      <c r="AF78">
        <f>SUM(AF7:AF75)</f>
        <v>3495</v>
      </c>
      <c r="AG78">
        <f>SUM(AG7:AG75)</f>
        <v>3047</v>
      </c>
      <c r="AH78">
        <f>SUM(AH7:AH75)</f>
        <v>3488</v>
      </c>
      <c r="AI78">
        <f>SUM(AI7:AI75)</f>
        <v>3185</v>
      </c>
      <c r="AJ78">
        <f>SUM(AJ7:AJ75)</f>
        <v>3216</v>
      </c>
      <c r="AK78">
        <f>SUM(AK7:AK75)</f>
        <v>2554</v>
      </c>
      <c r="AL78">
        <f>SUM(AL7:AL75)</f>
        <v>2485</v>
      </c>
      <c r="AM78">
        <f>SUM(AM7:AM75)</f>
        <v>2607</v>
      </c>
      <c r="AN78">
        <f>SUM(AN7:AN75)</f>
        <v>3424</v>
      </c>
      <c r="AO78">
        <f>SUM(AO7:AO75)</f>
        <v>3104</v>
      </c>
      <c r="AP78">
        <f>SUM(AP7:AP75)</f>
        <v>2780</v>
      </c>
      <c r="AQ78">
        <f>SUM(AQ7:AQ75)</f>
        <v>2989</v>
      </c>
      <c r="AR78">
        <f>SUM(AR7:AR75)</f>
        <v>2610</v>
      </c>
      <c r="AS78">
        <f>SUM(AS7:AS75)</f>
        <v>79785</v>
      </c>
    </row>
    <row r="80" spans="1:45" x14ac:dyDescent="0.25">
      <c r="A80" s="1" t="s">
        <v>2</v>
      </c>
      <c r="B80" t="s">
        <v>192</v>
      </c>
      <c r="C80" t="s">
        <v>193</v>
      </c>
      <c r="D80" t="s">
        <v>194</v>
      </c>
      <c r="E80" t="s">
        <v>195</v>
      </c>
      <c r="F80" t="s">
        <v>196</v>
      </c>
      <c r="G80" t="s">
        <v>197</v>
      </c>
    </row>
    <row r="81" spans="1:7" x14ac:dyDescent="0.25">
      <c r="A81" s="1" t="s">
        <v>4</v>
      </c>
      <c r="B81">
        <f>SUM(B73:I73)</f>
        <v>9</v>
      </c>
      <c r="C81">
        <f>SUM(J73)</f>
        <v>1</v>
      </c>
      <c r="D81">
        <f>SUM(K73:T73)</f>
        <v>1861</v>
      </c>
      <c r="E81">
        <f>SUM(U73:AD73)</f>
        <v>27375</v>
      </c>
      <c r="F81">
        <f>SUM(AE73:AN73)</f>
        <v>22767</v>
      </c>
      <c r="G81">
        <f>SUM(AO73:AR73)</f>
        <v>7970</v>
      </c>
    </row>
    <row r="82" spans="1:7" x14ac:dyDescent="0.25">
      <c r="A82" s="1" t="s">
        <v>191</v>
      </c>
      <c r="B82">
        <f>SUM(B74:I74)</f>
        <v>0</v>
      </c>
      <c r="C82">
        <f>SUM(J74)</f>
        <v>0</v>
      </c>
      <c r="D82">
        <f>SUM(K74:T74)</f>
        <v>79</v>
      </c>
      <c r="E82">
        <f>SUM(U74:AD74)</f>
        <v>5526</v>
      </c>
      <c r="F82">
        <f>SUM(AE74:AN74)</f>
        <v>6703</v>
      </c>
      <c r="G82">
        <f>SUM(AO74:AR74)</f>
        <v>2759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85DA-77FE-49E2-9138-2FBD50D7E85A}">
  <dimension ref="A1:B72"/>
  <sheetViews>
    <sheetView workbookViewId="0">
      <selection sqref="A1:B72"/>
    </sheetView>
  </sheetViews>
  <sheetFormatPr defaultRowHeight="15" x14ac:dyDescent="0.25"/>
  <cols>
    <col min="1" max="1" width="21.42578125" bestFit="1" customWidth="1"/>
    <col min="2" max="2" width="1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143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 s="1" t="s">
        <v>26</v>
      </c>
    </row>
    <row r="15" spans="1:2" x14ac:dyDescent="0.25">
      <c r="A15" s="1" t="s">
        <v>27</v>
      </c>
      <c r="B15" s="1" t="s">
        <v>28</v>
      </c>
    </row>
    <row r="16" spans="1:2" x14ac:dyDescent="0.25">
      <c r="A16" s="1" t="s">
        <v>29</v>
      </c>
      <c r="B16" s="1" t="s">
        <v>30</v>
      </c>
    </row>
    <row r="17" spans="1:2" x14ac:dyDescent="0.25">
      <c r="A17" s="1" t="s">
        <v>31</v>
      </c>
      <c r="B17" s="1" t="s">
        <v>32</v>
      </c>
    </row>
    <row r="18" spans="1:2" x14ac:dyDescent="0.25">
      <c r="A18" s="1" t="s">
        <v>33</v>
      </c>
      <c r="B18" s="1" t="s">
        <v>34</v>
      </c>
    </row>
    <row r="19" spans="1:2" x14ac:dyDescent="0.25">
      <c r="A19" s="1" t="s">
        <v>35</v>
      </c>
      <c r="B19" s="1" t="s">
        <v>36</v>
      </c>
    </row>
    <row r="20" spans="1:2" x14ac:dyDescent="0.25">
      <c r="A20" s="1" t="s">
        <v>37</v>
      </c>
      <c r="B20" s="1" t="s">
        <v>38</v>
      </c>
    </row>
    <row r="21" spans="1:2" x14ac:dyDescent="0.25">
      <c r="A21" s="1" t="s">
        <v>39</v>
      </c>
      <c r="B21" s="1" t="s">
        <v>40</v>
      </c>
    </row>
    <row r="22" spans="1:2" x14ac:dyDescent="0.25">
      <c r="A22" s="1" t="s">
        <v>41</v>
      </c>
      <c r="B22" s="1" t="s">
        <v>42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45</v>
      </c>
      <c r="B24" s="1" t="s">
        <v>46</v>
      </c>
    </row>
    <row r="25" spans="1:2" x14ac:dyDescent="0.25">
      <c r="A25" s="1" t="s">
        <v>47</v>
      </c>
      <c r="B25" s="1" t="s">
        <v>48</v>
      </c>
    </row>
    <row r="26" spans="1:2" x14ac:dyDescent="0.25">
      <c r="A26" s="1" t="s">
        <v>49</v>
      </c>
      <c r="B26" s="1" t="s">
        <v>50</v>
      </c>
    </row>
    <row r="27" spans="1:2" x14ac:dyDescent="0.25">
      <c r="A27" s="1" t="s">
        <v>51</v>
      </c>
      <c r="B27" s="1" t="s">
        <v>52</v>
      </c>
    </row>
    <row r="28" spans="1:2" x14ac:dyDescent="0.25">
      <c r="A28" s="1" t="s">
        <v>53</v>
      </c>
      <c r="B28" s="1" t="s">
        <v>54</v>
      </c>
    </row>
    <row r="29" spans="1:2" x14ac:dyDescent="0.25">
      <c r="A29" s="1" t="s">
        <v>55</v>
      </c>
      <c r="B29" s="1" t="s">
        <v>56</v>
      </c>
    </row>
    <row r="30" spans="1:2" x14ac:dyDescent="0.25">
      <c r="A30" s="1" t="s">
        <v>57</v>
      </c>
      <c r="B30" s="1" t="s">
        <v>58</v>
      </c>
    </row>
    <row r="31" spans="1:2" x14ac:dyDescent="0.25">
      <c r="A31" s="1" t="s">
        <v>59</v>
      </c>
      <c r="B31" s="1" t="s">
        <v>60</v>
      </c>
    </row>
    <row r="32" spans="1:2" x14ac:dyDescent="0.25">
      <c r="A32" s="1" t="s">
        <v>61</v>
      </c>
      <c r="B32" s="1" t="s">
        <v>62</v>
      </c>
    </row>
    <row r="33" spans="1:2" x14ac:dyDescent="0.25">
      <c r="A33" s="1" t="s">
        <v>63</v>
      </c>
      <c r="B33" s="1" t="s">
        <v>64</v>
      </c>
    </row>
    <row r="34" spans="1:2" x14ac:dyDescent="0.25">
      <c r="A34" s="1" t="s">
        <v>65</v>
      </c>
      <c r="B34" s="1" t="s">
        <v>66</v>
      </c>
    </row>
    <row r="35" spans="1:2" x14ac:dyDescent="0.25">
      <c r="A35" s="1" t="s">
        <v>67</v>
      </c>
      <c r="B35" s="1" t="s">
        <v>68</v>
      </c>
    </row>
    <row r="36" spans="1:2" x14ac:dyDescent="0.25">
      <c r="A36" s="1" t="s">
        <v>69</v>
      </c>
      <c r="B36" s="1" t="s">
        <v>70</v>
      </c>
    </row>
    <row r="37" spans="1:2" x14ac:dyDescent="0.25">
      <c r="A37" s="1" t="s">
        <v>71</v>
      </c>
      <c r="B37" s="1" t="s">
        <v>72</v>
      </c>
    </row>
    <row r="38" spans="1:2" x14ac:dyDescent="0.25">
      <c r="A38" s="1" t="s">
        <v>73</v>
      </c>
      <c r="B38" s="1" t="s">
        <v>74</v>
      </c>
    </row>
    <row r="39" spans="1:2" x14ac:dyDescent="0.25">
      <c r="A39" s="1" t="s">
        <v>75</v>
      </c>
      <c r="B39" s="1" t="s">
        <v>76</v>
      </c>
    </row>
    <row r="40" spans="1:2" x14ac:dyDescent="0.25">
      <c r="A40" s="1" t="s">
        <v>77</v>
      </c>
      <c r="B40" s="1" t="s">
        <v>78</v>
      </c>
    </row>
    <row r="41" spans="1:2" x14ac:dyDescent="0.25">
      <c r="A41" s="1" t="s">
        <v>79</v>
      </c>
      <c r="B41" s="1" t="s">
        <v>80</v>
      </c>
    </row>
    <row r="42" spans="1:2" x14ac:dyDescent="0.25">
      <c r="A42" s="1" t="s">
        <v>81</v>
      </c>
      <c r="B42" s="1" t="s">
        <v>82</v>
      </c>
    </row>
    <row r="43" spans="1:2" x14ac:dyDescent="0.25">
      <c r="A43" s="1" t="s">
        <v>83</v>
      </c>
      <c r="B43" s="1" t="s">
        <v>84</v>
      </c>
    </row>
    <row r="44" spans="1:2" x14ac:dyDescent="0.25">
      <c r="A44" s="1" t="s">
        <v>85</v>
      </c>
      <c r="B44" s="1" t="s">
        <v>86</v>
      </c>
    </row>
    <row r="45" spans="1:2" x14ac:dyDescent="0.25">
      <c r="A45" s="1" t="s">
        <v>87</v>
      </c>
      <c r="B45" s="1" t="s">
        <v>88</v>
      </c>
    </row>
    <row r="46" spans="1:2" x14ac:dyDescent="0.25">
      <c r="A46" s="1" t="s">
        <v>89</v>
      </c>
      <c r="B46" s="1" t="s">
        <v>90</v>
      </c>
    </row>
    <row r="47" spans="1:2" x14ac:dyDescent="0.25">
      <c r="A47" s="1" t="s">
        <v>91</v>
      </c>
      <c r="B47" s="1" t="s">
        <v>92</v>
      </c>
    </row>
    <row r="48" spans="1:2" x14ac:dyDescent="0.25">
      <c r="A48" s="1" t="s">
        <v>93</v>
      </c>
      <c r="B48" s="1" t="s">
        <v>94</v>
      </c>
    </row>
    <row r="49" spans="1:2" x14ac:dyDescent="0.25">
      <c r="A49" s="1" t="s">
        <v>95</v>
      </c>
      <c r="B49" s="1" t="s">
        <v>96</v>
      </c>
    </row>
    <row r="50" spans="1:2" x14ac:dyDescent="0.25">
      <c r="A50" s="1" t="s">
        <v>97</v>
      </c>
      <c r="B50" s="1" t="s">
        <v>98</v>
      </c>
    </row>
    <row r="51" spans="1:2" x14ac:dyDescent="0.25">
      <c r="A51" s="1" t="s">
        <v>99</v>
      </c>
      <c r="B51" s="1" t="s">
        <v>100</v>
      </c>
    </row>
    <row r="52" spans="1:2" x14ac:dyDescent="0.25">
      <c r="A52" s="1" t="s">
        <v>101</v>
      </c>
      <c r="B52" s="1" t="s">
        <v>102</v>
      </c>
    </row>
    <row r="53" spans="1:2" x14ac:dyDescent="0.25">
      <c r="A53" s="1" t="s">
        <v>103</v>
      </c>
      <c r="B53" s="1" t="s">
        <v>104</v>
      </c>
    </row>
    <row r="54" spans="1:2" x14ac:dyDescent="0.25">
      <c r="A54" s="1" t="s">
        <v>105</v>
      </c>
      <c r="B54" s="1" t="s">
        <v>106</v>
      </c>
    </row>
    <row r="55" spans="1:2" x14ac:dyDescent="0.25">
      <c r="A55" s="1" t="s">
        <v>107</v>
      </c>
      <c r="B55" s="1" t="s">
        <v>108</v>
      </c>
    </row>
    <row r="56" spans="1:2" x14ac:dyDescent="0.25">
      <c r="A56" s="1" t="s">
        <v>109</v>
      </c>
      <c r="B56" s="1" t="s">
        <v>110</v>
      </c>
    </row>
    <row r="57" spans="1:2" x14ac:dyDescent="0.25">
      <c r="A57" s="1" t="s">
        <v>111</v>
      </c>
      <c r="B57" s="1" t="s">
        <v>112</v>
      </c>
    </row>
    <row r="58" spans="1:2" x14ac:dyDescent="0.25">
      <c r="A58" s="1" t="s">
        <v>113</v>
      </c>
      <c r="B58" s="1" t="s">
        <v>114</v>
      </c>
    </row>
    <row r="59" spans="1:2" x14ac:dyDescent="0.25">
      <c r="A59" s="1" t="s">
        <v>115</v>
      </c>
      <c r="B59" s="1" t="s">
        <v>116</v>
      </c>
    </row>
    <row r="60" spans="1:2" x14ac:dyDescent="0.25">
      <c r="A60" s="1" t="s">
        <v>117</v>
      </c>
      <c r="B60" s="1" t="s">
        <v>118</v>
      </c>
    </row>
    <row r="61" spans="1:2" x14ac:dyDescent="0.25">
      <c r="A61" s="1" t="s">
        <v>119</v>
      </c>
      <c r="B61" s="1" t="s">
        <v>120</v>
      </c>
    </row>
    <row r="62" spans="1:2" x14ac:dyDescent="0.25">
      <c r="A62" s="1" t="s">
        <v>121</v>
      </c>
      <c r="B62" s="1" t="s">
        <v>122</v>
      </c>
    </row>
    <row r="63" spans="1:2" x14ac:dyDescent="0.25">
      <c r="A63" s="1" t="s">
        <v>123</v>
      </c>
      <c r="B63" s="1" t="s">
        <v>124</v>
      </c>
    </row>
    <row r="64" spans="1:2" x14ac:dyDescent="0.25">
      <c r="A64" s="1" t="s">
        <v>125</v>
      </c>
      <c r="B64" s="1" t="s">
        <v>126</v>
      </c>
    </row>
    <row r="65" spans="1:2" x14ac:dyDescent="0.25">
      <c r="A65" s="1" t="s">
        <v>127</v>
      </c>
      <c r="B65" s="1" t="s">
        <v>128</v>
      </c>
    </row>
    <row r="66" spans="1:2" x14ac:dyDescent="0.25">
      <c r="A66" s="1" t="s">
        <v>129</v>
      </c>
      <c r="B66" s="1" t="s">
        <v>130</v>
      </c>
    </row>
    <row r="67" spans="1:2" x14ac:dyDescent="0.25">
      <c r="A67" s="1" t="s">
        <v>131</v>
      </c>
      <c r="B67" s="1" t="s">
        <v>132</v>
      </c>
    </row>
    <row r="68" spans="1:2" x14ac:dyDescent="0.25">
      <c r="A68" s="1" t="s">
        <v>133</v>
      </c>
      <c r="B68" s="1" t="s">
        <v>134</v>
      </c>
    </row>
    <row r="69" spans="1:2" x14ac:dyDescent="0.25">
      <c r="A69" s="1" t="s">
        <v>135</v>
      </c>
      <c r="B69" s="1" t="s">
        <v>136</v>
      </c>
    </row>
    <row r="70" spans="1:2" x14ac:dyDescent="0.25">
      <c r="A70" s="1" t="s">
        <v>137</v>
      </c>
      <c r="B70" s="1" t="s">
        <v>138</v>
      </c>
    </row>
    <row r="71" spans="1:2" x14ac:dyDescent="0.25">
      <c r="A71" s="1" t="s">
        <v>139</v>
      </c>
      <c r="B71" s="1" t="s">
        <v>140</v>
      </c>
    </row>
    <row r="72" spans="1:2" x14ac:dyDescent="0.25">
      <c r="A72" s="1" t="s">
        <v>141</v>
      </c>
      <c r="B72" s="1" t="s">
        <v>142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6F65-BFBD-4C06-8E09-3C943C67101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CEFF09-4B28-4B75-B1DB-2548C6EB17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language_analysis_by_year</vt:lpstr>
      <vt:lpstr>Gutenberg_Language_keys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van Wezel</dc:creator>
  <cp:lastModifiedBy>Dirk van Wezel</cp:lastModifiedBy>
  <dcterms:created xsi:type="dcterms:W3CDTF">2025-01-07T14:16:02Z</dcterms:created>
  <dcterms:modified xsi:type="dcterms:W3CDTF">2025-01-10T12:32:43Z</dcterms:modified>
</cp:coreProperties>
</file>